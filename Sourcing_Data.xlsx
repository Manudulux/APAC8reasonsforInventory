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eia648\Downloads\Tool8reasons\Tool\correctedfiles\"/>
    </mc:Choice>
  </mc:AlternateContent>
  <xr:revisionPtr revIDLastSave="0" documentId="13_ncr:1_{74989D26-EE13-4C94-A8D3-11B0FCFA9E3C}" xr6:coauthVersionLast="47" xr6:coauthVersionMax="47" xr10:uidLastSave="{00000000-0000-0000-0000-000000000000}"/>
  <bookViews>
    <workbookView xWindow="-120" yWindow="-120" windowWidth="38640" windowHeight="21840" tabRatio="500" xr2:uid="{00000000-000D-0000-FFFF-FFFF00000000}"/>
  </bookViews>
  <sheets>
    <sheet name="Sheet1" sheetId="1" r:id="rId1"/>
  </sheets>
  <definedNames>
    <definedName name="_xlnm._FilterDatabase" localSheetId="0" hidden="1">Sheet1!$A$1:$M$102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H40" i="1"/>
  <c r="I40" i="1"/>
  <c r="I39" i="1"/>
  <c r="I42" i="1" l="1"/>
  <c r="I9" i="1"/>
  <c r="I45" i="1"/>
  <c r="I91" i="1" l="1"/>
  <c r="I90" i="1"/>
  <c r="I94" i="1"/>
  <c r="I100" i="1"/>
  <c r="I87" i="1"/>
  <c r="I97" i="1"/>
  <c r="I99" i="1"/>
  <c r="I98" i="1"/>
  <c r="I75" i="1"/>
  <c r="I71" i="1"/>
  <c r="I70" i="1"/>
  <c r="I69" i="1"/>
  <c r="I12" i="1"/>
  <c r="I10" i="1"/>
  <c r="I24" i="1"/>
  <c r="I23" i="1"/>
  <c r="I22" i="1"/>
  <c r="I21" i="1"/>
  <c r="I20" i="1"/>
  <c r="I19" i="1"/>
  <c r="I18" i="1"/>
  <c r="I17" i="1"/>
  <c r="I16" i="1"/>
  <c r="I15" i="1"/>
  <c r="I14" i="1"/>
  <c r="I2" i="1"/>
</calcChain>
</file>

<file path=xl/sharedStrings.xml><?xml version="1.0" encoding="utf-8"?>
<sst xmlns="http://schemas.openxmlformats.org/spreadsheetml/2006/main" count="518" uniqueCount="187">
  <si>
    <t>Country</t>
  </si>
  <si>
    <t>Plant Code</t>
  </si>
  <si>
    <t>Supplier Code</t>
  </si>
  <si>
    <t>Supplier name</t>
  </si>
  <si>
    <t>RM Code</t>
  </si>
  <si>
    <t>RM Name</t>
  </si>
  <si>
    <t>Country of Origin</t>
  </si>
  <si>
    <t>Transit Time (Days)</t>
  </si>
  <si>
    <t>Additional Time (Days)</t>
  </si>
  <si>
    <t>Transit Time Std. Dev. (%)</t>
  </si>
  <si>
    <t>Shipping Interval (Days)</t>
  </si>
  <si>
    <t>Shipping Interval Std. Dev. (%)</t>
  </si>
  <si>
    <t>Shipping Lot Size (Units)</t>
  </si>
  <si>
    <t>INDIA</t>
  </si>
  <si>
    <t>A350</t>
  </si>
  <si>
    <t>Birla Carbon</t>
  </si>
  <si>
    <t>CODE , 228 / N550</t>
  </si>
  <si>
    <t>India</t>
  </si>
  <si>
    <t>Phillips Carbon</t>
  </si>
  <si>
    <t>Himadri Speciality Chemical Limited</t>
  </si>
  <si>
    <t>405 / N220</t>
  </si>
  <si>
    <t>Epsilon</t>
  </si>
  <si>
    <t>CODE , 510 / N660</t>
  </si>
  <si>
    <t>CODE , 599 / N347</t>
  </si>
  <si>
    <t>CODE , 630 / N326</t>
  </si>
  <si>
    <t>TENGZHOU EASTERN</t>
  </si>
  <si>
    <t>WL STEEL CORD</t>
  </si>
  <si>
    <t>China</t>
  </si>
  <si>
    <t>UW STEEL CORD</t>
  </si>
  <si>
    <t>HYOSUNG VIETNAM</t>
  </si>
  <si>
    <t>WY</t>
  </si>
  <si>
    <t>VIETNAM</t>
  </si>
  <si>
    <t>THAI INDO KORDSA CO. LTD.</t>
  </si>
  <si>
    <t>NC16ZM (Pink Dip)</t>
  </si>
  <si>
    <t>Thailand</t>
  </si>
  <si>
    <t>NC30ZO PINK DIP</t>
  </si>
  <si>
    <t>NG30JA (Black Dip)</t>
  </si>
  <si>
    <t>SRI KARPAGA PRIYA TEXTILES PRIVATE</t>
  </si>
  <si>
    <t>CK  BEAD WRAP</t>
  </si>
  <si>
    <t>HYOSUNG CORPORATION INDIA PVT LTD</t>
  </si>
  <si>
    <t>TC28CX (Pink Dip)</t>
  </si>
  <si>
    <t>Indorama Ventures (PFK)</t>
  </si>
  <si>
    <t>KOLON KOREA</t>
  </si>
  <si>
    <t>TM26CX (PINK DIP)</t>
  </si>
  <si>
    <t>Korea</t>
  </si>
  <si>
    <t>HYOSUNG</t>
  </si>
  <si>
    <t>TU32CX (Pink Dip)</t>
  </si>
  <si>
    <t>KOLON CHINA</t>
  </si>
  <si>
    <t>SHUFORD YARNS</t>
  </si>
  <si>
    <t>Code 9481</t>
  </si>
  <si>
    <t>USA</t>
  </si>
  <si>
    <t>GOODYEAR ORIENT COMPANY PTE.</t>
  </si>
  <si>
    <t>CODE , NIMBO</t>
  </si>
  <si>
    <t>South Africa</t>
  </si>
  <si>
    <t>Indonesia</t>
  </si>
  <si>
    <t>NOLO</t>
  </si>
  <si>
    <t>Pallapillil_Tripura</t>
  </si>
  <si>
    <t>CODE , NAPLO</t>
  </si>
  <si>
    <t>SILVERSTONE RUBBER</t>
  </si>
  <si>
    <t>GY, Kochi</t>
  </si>
  <si>
    <t>KARSO</t>
  </si>
  <si>
    <t>Tata Steel Ltd</t>
  </si>
  <si>
    <t>CODE , JH</t>
  </si>
  <si>
    <t>H&amp;R CHINA</t>
  </si>
  <si>
    <t>CODE , GOODINE</t>
  </si>
  <si>
    <t>CODE , SURFAX</t>
  </si>
  <si>
    <t>YANGGU HUATAI (Shandong Derek)</t>
  </si>
  <si>
    <t>CODE , LEIBAX</t>
  </si>
  <si>
    <t xml:space="preserve">FLOW POLYMERS, INC </t>
  </si>
  <si>
    <t>CODE , KLINGIC</t>
  </si>
  <si>
    <t>EVONIK</t>
  </si>
  <si>
    <t>CODE , 9071</t>
  </si>
  <si>
    <t>Taiwan</t>
  </si>
  <si>
    <t>PPG INDUSTRIES</t>
  </si>
  <si>
    <t>CODE6917</t>
  </si>
  <si>
    <t>Netherland</t>
  </si>
  <si>
    <t>LANXESS (RHEIN CHEMIE)</t>
  </si>
  <si>
    <t>BOEHNITE</t>
  </si>
  <si>
    <t>Germany</t>
  </si>
  <si>
    <t>LANXESS</t>
  </si>
  <si>
    <t>CROYDAX</t>
  </si>
  <si>
    <t>BELGIUM</t>
  </si>
  <si>
    <t>SHANDONG YANGGU HUATAI</t>
  </si>
  <si>
    <t>CODE , LAMBRAX</t>
  </si>
  <si>
    <t>PETER GREVEN</t>
  </si>
  <si>
    <t>CODE , HOOVERIC</t>
  </si>
  <si>
    <t>Schill+Seilacher Struktol</t>
  </si>
  <si>
    <t>GALINDIC</t>
  </si>
  <si>
    <t>TROWMIC</t>
  </si>
  <si>
    <t>AKROCHEM</t>
  </si>
  <si>
    <t>CODE , 210</t>
  </si>
  <si>
    <t>H L  BLACHFORD LTD</t>
  </si>
  <si>
    <t>CODE , CHUTIC</t>
  </si>
  <si>
    <t>Hubei Jianghan</t>
  </si>
  <si>
    <t>CODE , 567</t>
  </si>
  <si>
    <t>CODE - SILANIC</t>
  </si>
  <si>
    <t>SINO LEGEND HOLDING GROUP INC.</t>
  </si>
  <si>
    <t>CODE , WIROTHIC</t>
  </si>
  <si>
    <t>Shandong Sunsine Chemical Co Ltd</t>
  </si>
  <si>
    <t>CODE , ADAMAX</t>
  </si>
  <si>
    <t>CODE , KERWAX</t>
  </si>
  <si>
    <t>CODE , HAWKAX</t>
  </si>
  <si>
    <t>CODE , PHENAX</t>
  </si>
  <si>
    <t>KRATON CHEMICAL</t>
  </si>
  <si>
    <t>CODE , THIELIC</t>
  </si>
  <si>
    <t>France</t>
  </si>
  <si>
    <t>KEMAI CHEMICAL CO.,LTD.</t>
  </si>
  <si>
    <t>CODE-CITAX</t>
  </si>
  <si>
    <t>Dalian Advance Performance Specialty Chemicals Co., Ltd.</t>
  </si>
  <si>
    <t>CODE , DIROSIC</t>
  </si>
  <si>
    <t xml:space="preserve">WUXI HENGCHENG </t>
  </si>
  <si>
    <t>CODE - 1371</t>
  </si>
  <si>
    <t>TAEKWANG Fine Chem</t>
  </si>
  <si>
    <t>CODE - LICKIC</t>
  </si>
  <si>
    <t>BIOLANIC</t>
  </si>
  <si>
    <t>CODE , SYDNINE</t>
  </si>
  <si>
    <t>Russia</t>
  </si>
  <si>
    <t>H&amp;R INDIA SALES PVT. LTD</t>
  </si>
  <si>
    <t>GOODYEAR CHEMICAL</t>
  </si>
  <si>
    <t>CODE , NAILAX</t>
  </si>
  <si>
    <t>DRT (LES DERIVES RESINIQUES ET TERPENIQU)</t>
  </si>
  <si>
    <t>CHRISMIC</t>
  </si>
  <si>
    <t>MOMENTIVE (INDIA)</t>
  </si>
  <si>
    <t>CODE , BIJINIC</t>
  </si>
  <si>
    <t xml:space="preserve">MADHU SILICA PRIVATE LIMITED </t>
  </si>
  <si>
    <t>CODE , 1171</t>
  </si>
  <si>
    <t>SOLAR CHEMICALS</t>
  </si>
  <si>
    <t>CODE 4</t>
  </si>
  <si>
    <t>JG Chemicals</t>
  </si>
  <si>
    <t>CODE , 1011</t>
  </si>
  <si>
    <t>PUNIA ZINOX</t>
  </si>
  <si>
    <t>FINORCHEM (ACMECHEM)</t>
  </si>
  <si>
    <t>CODE , RENARDIC</t>
  </si>
  <si>
    <t>CODE , ZONFLAX</t>
  </si>
  <si>
    <t>CODE , OLIVAX</t>
  </si>
  <si>
    <t>NOCIL</t>
  </si>
  <si>
    <t xml:space="preserve">V V F(INDIA) LTD </t>
  </si>
  <si>
    <t>CODE , STERAX</t>
  </si>
  <si>
    <t>ORIENTAL CARBON &amp; CHEMICALS LTD</t>
  </si>
  <si>
    <t>CODE , 1044</t>
  </si>
  <si>
    <t>ORIENTAL CARBON AND CHEMICALS LTD.</t>
  </si>
  <si>
    <t>CODE 1144</t>
  </si>
  <si>
    <t>Rajsha Chemicals Pvt Ltd</t>
  </si>
  <si>
    <t>CODE , MULTRAX</t>
  </si>
  <si>
    <t xml:space="preserve">Agro International </t>
  </si>
  <si>
    <t>CODE , BLUTRIC</t>
  </si>
  <si>
    <t>SI GROUP - INDIA LIMITED</t>
  </si>
  <si>
    <t>CODE - BETHUNIC</t>
  </si>
  <si>
    <t>CODE - MILNIC</t>
  </si>
  <si>
    <t>CHIKA PRIVATE LIMITED</t>
  </si>
  <si>
    <t>LUMTINE</t>
  </si>
  <si>
    <t>APAR Industries Ltd./ PANAMA</t>
  </si>
  <si>
    <t>CODE , SARDINE</t>
  </si>
  <si>
    <t>RAJ PETRO</t>
  </si>
  <si>
    <t>KORNATIC</t>
  </si>
  <si>
    <t>SELWEL ENTERPRISES</t>
  </si>
  <si>
    <t>EVRIC</t>
  </si>
  <si>
    <t>BST ENEOS</t>
  </si>
  <si>
    <t>CODE , SCIEKIC</t>
  </si>
  <si>
    <t>RELIANCE</t>
  </si>
  <si>
    <t>CODE , RIONIC</t>
  </si>
  <si>
    <t>ASAHI KASEI</t>
  </si>
  <si>
    <t>TAKUMIC</t>
  </si>
  <si>
    <t>Singapore</t>
  </si>
  <si>
    <t>POSCO</t>
  </si>
  <si>
    <t>PREVELIC</t>
  </si>
  <si>
    <t>CODE , BUD4001</t>
  </si>
  <si>
    <t>The Goodyear Tire &amp; Rubber Company</t>
  </si>
  <si>
    <t>CODE , SLF33H23</t>
  </si>
  <si>
    <t>SABIC (GOCPL)</t>
  </si>
  <si>
    <t>CODE , BUD1208</t>
  </si>
  <si>
    <t>Saudi Arabia</t>
  </si>
  <si>
    <t>CODE , BUD1207</t>
  </si>
  <si>
    <t>CODE , BUD1223</t>
  </si>
  <si>
    <t>ZEON CHEMICALS</t>
  </si>
  <si>
    <t>SANTOSIC</t>
  </si>
  <si>
    <t>LG CHEMICAL</t>
  </si>
  <si>
    <t>DRIFTIC</t>
  </si>
  <si>
    <t>S.KOREA</t>
  </si>
  <si>
    <t>CODE , BINIC</t>
  </si>
  <si>
    <t>ISRL</t>
  </si>
  <si>
    <t>CODE , COMODIC</t>
  </si>
  <si>
    <t>RELIANCE INDUSTRIES LTD.</t>
  </si>
  <si>
    <t>CODE-CHEFFIC</t>
  </si>
  <si>
    <t>EXXONMOBIL</t>
  </si>
  <si>
    <t>KOLON</t>
  </si>
  <si>
    <t>NABUCIC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</si>
</sst>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1"/>
      <color rgb="FF000000"/>
      <name val="Cambria"/>
      <family val="1"/>
      <charset val="1"/>
    </font>
    <font>
      <b/>
      <sz val="12"/>
      <name val="Cambria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A9D18E"/>
        <bgColor rgb="FF99CCFF"/>
      </patternFill>
    </fill>
    <fill>
      <patternFill patternType="solid">
        <fgColor theme="9" tint="0.79998168889431442"/>
        <bgColor rgb="FFFF8080"/>
      </patternFill>
    </fill>
    <fill>
      <patternFill patternType="solid">
        <fgColor theme="9" tint="0.79998168889431442"/>
        <bgColor rgb="FF99CCFF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zoomScale="130" zoomScaleNormal="130" workbookViewId="0">
      <selection activeCell="A39" sqref="A39"/>
    </sheetView>
  </sheetViews>
  <sheetFormatPr defaultColWidth="11.5703125" defaultRowHeight="12.75" x14ac:dyDescent="0.2"/>
  <cols>
    <col min="1" max="1" width="10.5703125" customWidth="1"/>
    <col min="2" max="2" width="13.85546875" customWidth="1"/>
    <col min="3" max="3" width="17.7109375" customWidth="1"/>
    <col min="4" max="4" width="51.42578125" bestFit="1" customWidth="1"/>
    <col min="5" max="5" width="11.85546875" customWidth="1"/>
    <col min="6" max="6" width="21" style="1" customWidth="1"/>
    <col min="7" max="7" width="21.42578125" style="1" customWidth="1"/>
    <col min="8" max="8" width="24.28515625" customWidth="1"/>
    <col min="9" max="9" width="28" customWidth="1"/>
    <col min="10" max="10" width="31.85546875" customWidth="1"/>
    <col min="11" max="11" width="30.28515625" style="1" customWidth="1"/>
    <col min="12" max="12" width="37.85546875" customWidth="1"/>
    <col min="13" max="13" width="31.28515625" customWidth="1"/>
  </cols>
  <sheetData>
    <row r="1" spans="1:13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5" t="s">
        <v>12</v>
      </c>
    </row>
    <row r="2" spans="1:13" x14ac:dyDescent="0.2">
      <c r="A2" t="s">
        <v>13</v>
      </c>
      <c r="B2" t="s">
        <v>14</v>
      </c>
      <c r="C2">
        <v>147571</v>
      </c>
      <c r="D2" t="s">
        <v>18</v>
      </c>
      <c r="E2">
        <v>1100219</v>
      </c>
      <c r="F2" t="s">
        <v>23</v>
      </c>
      <c r="G2" t="s">
        <v>17</v>
      </c>
      <c r="H2">
        <v>7</v>
      </c>
      <c r="I2" s="8">
        <f>1+3</f>
        <v>4</v>
      </c>
      <c r="J2" s="7">
        <v>20</v>
      </c>
      <c r="K2">
        <v>7</v>
      </c>
      <c r="L2" s="7">
        <v>50</v>
      </c>
      <c r="M2" s="7">
        <v>12600</v>
      </c>
    </row>
    <row r="3" spans="1:13" x14ac:dyDescent="0.2">
      <c r="A3" t="s">
        <v>13</v>
      </c>
      <c r="B3" t="s">
        <v>14</v>
      </c>
      <c r="C3">
        <v>202016</v>
      </c>
      <c r="D3" t="s">
        <v>32</v>
      </c>
      <c r="E3">
        <v>1102411</v>
      </c>
      <c r="F3" t="s">
        <v>33</v>
      </c>
      <c r="G3" t="s">
        <v>34</v>
      </c>
      <c r="H3">
        <v>21.03</v>
      </c>
      <c r="I3">
        <v>18</v>
      </c>
      <c r="J3">
        <v>44.017175378245561</v>
      </c>
      <c r="K3">
        <v>94.5</v>
      </c>
      <c r="L3">
        <v>1</v>
      </c>
      <c r="M3" s="7">
        <v>1799</v>
      </c>
    </row>
    <row r="4" spans="1:13" x14ac:dyDescent="0.2">
      <c r="A4" t="s">
        <v>13</v>
      </c>
      <c r="B4" t="s">
        <v>14</v>
      </c>
      <c r="C4">
        <v>90003756</v>
      </c>
      <c r="D4" t="s">
        <v>48</v>
      </c>
      <c r="E4">
        <v>1100647</v>
      </c>
      <c r="F4" t="s">
        <v>49</v>
      </c>
      <c r="G4" t="s">
        <v>50</v>
      </c>
      <c r="H4">
        <v>7</v>
      </c>
      <c r="I4">
        <v>18</v>
      </c>
      <c r="J4">
        <v>1</v>
      </c>
      <c r="K4">
        <v>30</v>
      </c>
      <c r="L4">
        <v>1</v>
      </c>
      <c r="M4" s="7">
        <v>1100</v>
      </c>
    </row>
    <row r="5" spans="1:13" x14ac:dyDescent="0.2">
      <c r="A5" t="s">
        <v>13</v>
      </c>
      <c r="B5" t="s">
        <v>14</v>
      </c>
      <c r="C5">
        <v>204050</v>
      </c>
      <c r="D5" t="s">
        <v>63</v>
      </c>
      <c r="E5">
        <v>1100042</v>
      </c>
      <c r="F5" t="s">
        <v>64</v>
      </c>
      <c r="G5" t="s">
        <v>27</v>
      </c>
      <c r="H5">
        <v>50.21</v>
      </c>
      <c r="I5">
        <v>18</v>
      </c>
      <c r="J5">
        <v>25.28066115123676</v>
      </c>
      <c r="K5">
        <v>21</v>
      </c>
      <c r="L5">
        <v>1</v>
      </c>
      <c r="M5" s="7">
        <v>16000</v>
      </c>
    </row>
    <row r="6" spans="1:13" x14ac:dyDescent="0.2">
      <c r="A6" t="s">
        <v>13</v>
      </c>
      <c r="B6" t="s">
        <v>14</v>
      </c>
      <c r="C6">
        <v>204050</v>
      </c>
      <c r="D6" t="s">
        <v>63</v>
      </c>
      <c r="E6">
        <v>1100060</v>
      </c>
      <c r="F6" t="s">
        <v>65</v>
      </c>
      <c r="G6" t="s">
        <v>27</v>
      </c>
      <c r="H6">
        <v>50.38</v>
      </c>
      <c r="I6">
        <v>18</v>
      </c>
      <c r="J6">
        <v>26.157097061173719</v>
      </c>
      <c r="K6">
        <v>21</v>
      </c>
      <c r="L6">
        <v>1</v>
      </c>
      <c r="M6" s="7">
        <v>4000</v>
      </c>
    </row>
    <row r="7" spans="1:13" x14ac:dyDescent="0.2">
      <c r="A7" t="s">
        <v>13</v>
      </c>
      <c r="B7" t="s">
        <v>14</v>
      </c>
      <c r="C7">
        <v>622806</v>
      </c>
      <c r="D7" t="s">
        <v>79</v>
      </c>
      <c r="E7">
        <v>1100040</v>
      </c>
      <c r="F7" t="s">
        <v>80</v>
      </c>
      <c r="G7" t="s">
        <v>81</v>
      </c>
      <c r="H7">
        <v>10</v>
      </c>
      <c r="I7">
        <v>18</v>
      </c>
      <c r="J7">
        <v>50</v>
      </c>
      <c r="K7">
        <v>30</v>
      </c>
      <c r="L7">
        <v>1</v>
      </c>
      <c r="M7" s="7">
        <v>100</v>
      </c>
    </row>
    <row r="8" spans="1:13" x14ac:dyDescent="0.2">
      <c r="A8" t="s">
        <v>13</v>
      </c>
      <c r="B8" t="s">
        <v>14</v>
      </c>
      <c r="C8">
        <v>204014</v>
      </c>
      <c r="D8" t="s">
        <v>84</v>
      </c>
      <c r="E8">
        <v>1102190</v>
      </c>
      <c r="F8" t="s">
        <v>85</v>
      </c>
      <c r="G8" t="s">
        <v>78</v>
      </c>
      <c r="H8">
        <v>64.56</v>
      </c>
      <c r="I8">
        <v>18</v>
      </c>
      <c r="J8">
        <v>15.69507816904037</v>
      </c>
      <c r="K8">
        <v>63</v>
      </c>
      <c r="L8">
        <v>1</v>
      </c>
      <c r="M8" s="7">
        <v>8250</v>
      </c>
    </row>
    <row r="9" spans="1:13" x14ac:dyDescent="0.2">
      <c r="A9" t="s">
        <v>13</v>
      </c>
      <c r="B9" t="s">
        <v>14</v>
      </c>
      <c r="C9">
        <v>203652</v>
      </c>
      <c r="D9" t="s">
        <v>110</v>
      </c>
      <c r="E9">
        <v>1100357</v>
      </c>
      <c r="F9" t="s">
        <v>111</v>
      </c>
      <c r="G9" t="s">
        <v>27</v>
      </c>
      <c r="H9">
        <v>21.57</v>
      </c>
      <c r="I9">
        <f>18+4</f>
        <v>22</v>
      </c>
      <c r="J9">
        <v>30</v>
      </c>
      <c r="K9">
        <v>12</v>
      </c>
      <c r="L9">
        <v>41.513300000000001</v>
      </c>
      <c r="M9" s="7">
        <v>33000</v>
      </c>
    </row>
    <row r="10" spans="1:13" x14ac:dyDescent="0.2">
      <c r="A10" t="s">
        <v>13</v>
      </c>
      <c r="B10" t="s">
        <v>14</v>
      </c>
      <c r="C10">
        <v>148822</v>
      </c>
      <c r="D10" t="s">
        <v>79</v>
      </c>
      <c r="E10">
        <v>1100041</v>
      </c>
      <c r="F10" t="s">
        <v>133</v>
      </c>
      <c r="G10" t="s">
        <v>17</v>
      </c>
      <c r="H10">
        <v>3</v>
      </c>
      <c r="I10" s="8">
        <f>1+3</f>
        <v>4</v>
      </c>
      <c r="J10">
        <v>20</v>
      </c>
      <c r="K10">
        <v>12.6</v>
      </c>
      <c r="L10">
        <v>24.944400000000002</v>
      </c>
      <c r="M10" s="7">
        <v>12000</v>
      </c>
    </row>
    <row r="11" spans="1:13" x14ac:dyDescent="0.2">
      <c r="A11" t="s">
        <v>13</v>
      </c>
      <c r="B11" t="s">
        <v>14</v>
      </c>
      <c r="C11">
        <v>114761</v>
      </c>
      <c r="D11" t="s">
        <v>138</v>
      </c>
      <c r="E11">
        <v>1100070</v>
      </c>
      <c r="F11" t="s">
        <v>139</v>
      </c>
      <c r="G11" t="s">
        <v>17</v>
      </c>
      <c r="H11">
        <v>5</v>
      </c>
      <c r="I11">
        <v>1</v>
      </c>
      <c r="J11">
        <v>40</v>
      </c>
      <c r="K11">
        <v>30</v>
      </c>
      <c r="L11">
        <v>1</v>
      </c>
      <c r="M11" s="7">
        <v>7000</v>
      </c>
    </row>
    <row r="12" spans="1:13" x14ac:dyDescent="0.2">
      <c r="A12" t="s">
        <v>13</v>
      </c>
      <c r="B12" t="s">
        <v>14</v>
      </c>
      <c r="C12">
        <v>149425</v>
      </c>
      <c r="D12" t="s">
        <v>140</v>
      </c>
      <c r="E12">
        <v>1100076</v>
      </c>
      <c r="F12" t="s">
        <v>141</v>
      </c>
      <c r="G12" t="s">
        <v>17</v>
      </c>
      <c r="H12">
        <v>4</v>
      </c>
      <c r="I12" s="8">
        <f>1+3</f>
        <v>4</v>
      </c>
      <c r="J12">
        <v>40</v>
      </c>
      <c r="K12">
        <v>9.9474</v>
      </c>
      <c r="L12">
        <v>29.714700000000001</v>
      </c>
      <c r="M12" s="7">
        <v>7000</v>
      </c>
    </row>
    <row r="13" spans="1:13" x14ac:dyDescent="0.2">
      <c r="A13" t="s">
        <v>13</v>
      </c>
      <c r="B13" t="s">
        <v>14</v>
      </c>
      <c r="C13">
        <v>617948</v>
      </c>
      <c r="D13" t="s">
        <v>155</v>
      </c>
      <c r="E13">
        <v>1102101</v>
      </c>
      <c r="F13" t="s">
        <v>156</v>
      </c>
      <c r="G13" t="s">
        <v>27</v>
      </c>
      <c r="H13">
        <v>2</v>
      </c>
      <c r="I13">
        <v>18</v>
      </c>
      <c r="J13">
        <v>20</v>
      </c>
      <c r="K13">
        <v>37.799999999999997</v>
      </c>
      <c r="L13">
        <v>1</v>
      </c>
      <c r="M13" s="7">
        <v>284</v>
      </c>
    </row>
    <row r="14" spans="1:13" x14ac:dyDescent="0.2">
      <c r="A14" t="s">
        <v>13</v>
      </c>
      <c r="B14" t="s">
        <v>14</v>
      </c>
      <c r="C14">
        <v>150136</v>
      </c>
      <c r="D14" t="s">
        <v>15</v>
      </c>
      <c r="E14">
        <v>1100175</v>
      </c>
      <c r="F14" t="s">
        <v>16</v>
      </c>
      <c r="G14" t="s">
        <v>17</v>
      </c>
      <c r="H14">
        <v>3</v>
      </c>
      <c r="I14" s="8">
        <f t="shared" ref="I14:I24" si="0">1+3</f>
        <v>4</v>
      </c>
      <c r="J14">
        <v>20</v>
      </c>
      <c r="K14">
        <v>3.7059000000000002</v>
      </c>
      <c r="L14">
        <v>50.493299999999998</v>
      </c>
      <c r="M14">
        <v>13500</v>
      </c>
    </row>
    <row r="15" spans="1:13" x14ac:dyDescent="0.2">
      <c r="A15" t="s">
        <v>13</v>
      </c>
      <c r="B15" t="s">
        <v>14</v>
      </c>
      <c r="C15">
        <v>147571</v>
      </c>
      <c r="D15" t="s">
        <v>18</v>
      </c>
      <c r="E15">
        <v>1100175</v>
      </c>
      <c r="F15" t="s">
        <v>16</v>
      </c>
      <c r="G15" t="s">
        <v>17</v>
      </c>
      <c r="H15">
        <v>5</v>
      </c>
      <c r="I15" s="8">
        <f t="shared" si="0"/>
        <v>4</v>
      </c>
      <c r="J15">
        <v>20</v>
      </c>
      <c r="K15">
        <v>11.8125</v>
      </c>
      <c r="L15">
        <v>43.700400000000002</v>
      </c>
      <c r="M15">
        <v>13200</v>
      </c>
    </row>
    <row r="16" spans="1:13" x14ac:dyDescent="0.2">
      <c r="A16" t="s">
        <v>13</v>
      </c>
      <c r="B16" t="s">
        <v>14</v>
      </c>
      <c r="C16">
        <v>149508</v>
      </c>
      <c r="D16" t="s">
        <v>19</v>
      </c>
      <c r="E16">
        <v>1100174</v>
      </c>
      <c r="F16" t="s">
        <v>20</v>
      </c>
      <c r="G16" t="s">
        <v>17</v>
      </c>
      <c r="H16">
        <v>4</v>
      </c>
      <c r="I16" s="8">
        <f t="shared" si="0"/>
        <v>4</v>
      </c>
      <c r="J16">
        <v>20</v>
      </c>
      <c r="K16">
        <v>11.117599999999999</v>
      </c>
      <c r="L16">
        <v>57.434600000000003</v>
      </c>
      <c r="M16">
        <v>13200</v>
      </c>
    </row>
    <row r="17" spans="1:13" x14ac:dyDescent="0.2">
      <c r="A17" t="s">
        <v>13</v>
      </c>
      <c r="B17" t="s">
        <v>14</v>
      </c>
      <c r="C17">
        <v>90036756</v>
      </c>
      <c r="D17" t="s">
        <v>21</v>
      </c>
      <c r="E17">
        <v>1100174</v>
      </c>
      <c r="F17" t="s">
        <v>20</v>
      </c>
      <c r="G17" t="s">
        <v>17</v>
      </c>
      <c r="H17">
        <v>7</v>
      </c>
      <c r="I17" s="8">
        <f t="shared" si="0"/>
        <v>4</v>
      </c>
      <c r="J17" s="7">
        <v>20</v>
      </c>
      <c r="K17">
        <v>31.5</v>
      </c>
      <c r="L17" s="7">
        <v>50</v>
      </c>
      <c r="M17">
        <v>14700</v>
      </c>
    </row>
    <row r="18" spans="1:13" x14ac:dyDescent="0.2">
      <c r="A18" t="s">
        <v>13</v>
      </c>
      <c r="B18" t="s">
        <v>14</v>
      </c>
      <c r="C18">
        <v>150136</v>
      </c>
      <c r="D18" t="s">
        <v>15</v>
      </c>
      <c r="E18">
        <v>1100174</v>
      </c>
      <c r="F18" t="s">
        <v>20</v>
      </c>
      <c r="G18" t="s">
        <v>17</v>
      </c>
      <c r="H18">
        <v>5</v>
      </c>
      <c r="I18" s="8">
        <f t="shared" si="0"/>
        <v>4</v>
      </c>
      <c r="J18">
        <v>20</v>
      </c>
      <c r="K18">
        <v>2.9531000000000001</v>
      </c>
      <c r="L18">
        <v>43.283299999999997</v>
      </c>
      <c r="M18">
        <v>13200</v>
      </c>
    </row>
    <row r="19" spans="1:13" x14ac:dyDescent="0.2">
      <c r="A19" t="s">
        <v>13</v>
      </c>
      <c r="B19" t="s">
        <v>14</v>
      </c>
      <c r="C19">
        <v>147571</v>
      </c>
      <c r="D19" t="s">
        <v>18</v>
      </c>
      <c r="E19">
        <v>1100172</v>
      </c>
      <c r="F19" t="s">
        <v>22</v>
      </c>
      <c r="G19" t="s">
        <v>17</v>
      </c>
      <c r="H19">
        <v>5</v>
      </c>
      <c r="I19" s="8">
        <f t="shared" si="0"/>
        <v>4</v>
      </c>
      <c r="J19">
        <v>20</v>
      </c>
      <c r="K19">
        <v>9.9474</v>
      </c>
      <c r="L19">
        <v>35.501899999999999</v>
      </c>
      <c r="M19">
        <v>15600</v>
      </c>
    </row>
    <row r="20" spans="1:13" x14ac:dyDescent="0.2">
      <c r="A20" t="s">
        <v>13</v>
      </c>
      <c r="B20" t="s">
        <v>14</v>
      </c>
      <c r="C20">
        <v>149508</v>
      </c>
      <c r="D20" t="s">
        <v>19</v>
      </c>
      <c r="E20">
        <v>1100172</v>
      </c>
      <c r="F20" t="s">
        <v>22</v>
      </c>
      <c r="G20" t="s">
        <v>17</v>
      </c>
      <c r="H20">
        <v>4</v>
      </c>
      <c r="I20" s="8">
        <f t="shared" si="0"/>
        <v>4</v>
      </c>
      <c r="J20">
        <v>20</v>
      </c>
      <c r="K20">
        <v>12.6</v>
      </c>
      <c r="L20">
        <v>49.441299999999998</v>
      </c>
      <c r="M20">
        <v>15000</v>
      </c>
    </row>
    <row r="21" spans="1:13" x14ac:dyDescent="0.2">
      <c r="A21" t="s">
        <v>13</v>
      </c>
      <c r="B21" t="s">
        <v>14</v>
      </c>
      <c r="C21">
        <v>150136</v>
      </c>
      <c r="D21" t="s">
        <v>15</v>
      </c>
      <c r="E21">
        <v>1100172</v>
      </c>
      <c r="F21" t="s">
        <v>22</v>
      </c>
      <c r="G21" t="s">
        <v>17</v>
      </c>
      <c r="H21">
        <v>3</v>
      </c>
      <c r="I21" s="8">
        <f t="shared" si="0"/>
        <v>4</v>
      </c>
      <c r="J21">
        <v>20</v>
      </c>
      <c r="K21">
        <v>4.2</v>
      </c>
      <c r="L21">
        <v>56.665500000000002</v>
      </c>
      <c r="M21">
        <v>15000</v>
      </c>
    </row>
    <row r="22" spans="1:13" x14ac:dyDescent="0.2">
      <c r="A22" t="s">
        <v>13</v>
      </c>
      <c r="B22" t="s">
        <v>14</v>
      </c>
      <c r="C22">
        <v>150136</v>
      </c>
      <c r="D22" t="s">
        <v>15</v>
      </c>
      <c r="E22">
        <v>1100219</v>
      </c>
      <c r="F22" t="s">
        <v>23</v>
      </c>
      <c r="G22" t="s">
        <v>17</v>
      </c>
      <c r="H22">
        <v>7</v>
      </c>
      <c r="I22" s="8">
        <f t="shared" si="0"/>
        <v>4</v>
      </c>
      <c r="J22">
        <v>50</v>
      </c>
      <c r="K22">
        <v>4.2</v>
      </c>
      <c r="L22">
        <v>39.514000000000003</v>
      </c>
      <c r="M22">
        <v>12600</v>
      </c>
    </row>
    <row r="23" spans="1:13" x14ac:dyDescent="0.2">
      <c r="A23" t="s">
        <v>13</v>
      </c>
      <c r="B23" t="s">
        <v>14</v>
      </c>
      <c r="C23">
        <v>150136</v>
      </c>
      <c r="D23" t="s">
        <v>15</v>
      </c>
      <c r="E23">
        <v>1100173</v>
      </c>
      <c r="F23" t="s">
        <v>24</v>
      </c>
      <c r="G23" t="s">
        <v>17</v>
      </c>
      <c r="H23">
        <v>5</v>
      </c>
      <c r="I23" s="8">
        <f t="shared" si="0"/>
        <v>4</v>
      </c>
      <c r="J23">
        <v>50</v>
      </c>
      <c r="K23">
        <v>2.6619999999999999</v>
      </c>
      <c r="L23">
        <v>52.252299999999998</v>
      </c>
      <c r="M23">
        <v>15000</v>
      </c>
    </row>
    <row r="24" spans="1:13" x14ac:dyDescent="0.2">
      <c r="A24" t="s">
        <v>13</v>
      </c>
      <c r="B24" t="s">
        <v>14</v>
      </c>
      <c r="C24">
        <v>90036756</v>
      </c>
      <c r="D24" t="s">
        <v>21</v>
      </c>
      <c r="E24">
        <v>1100173</v>
      </c>
      <c r="F24" t="s">
        <v>24</v>
      </c>
      <c r="G24" t="s">
        <v>17</v>
      </c>
      <c r="H24">
        <v>7</v>
      </c>
      <c r="I24" s="8">
        <f t="shared" si="0"/>
        <v>4</v>
      </c>
      <c r="J24" s="7">
        <v>20</v>
      </c>
      <c r="K24">
        <v>31.5</v>
      </c>
      <c r="L24" s="7">
        <v>50</v>
      </c>
      <c r="M24">
        <v>17500</v>
      </c>
    </row>
    <row r="25" spans="1:13" x14ac:dyDescent="0.2">
      <c r="A25" t="s">
        <v>13</v>
      </c>
      <c r="B25" t="s">
        <v>14</v>
      </c>
      <c r="C25">
        <v>203625</v>
      </c>
      <c r="D25" t="s">
        <v>25</v>
      </c>
      <c r="E25">
        <v>1100086</v>
      </c>
      <c r="F25" t="s">
        <v>26</v>
      </c>
      <c r="G25" t="s">
        <v>27</v>
      </c>
      <c r="H25">
        <v>26.73</v>
      </c>
      <c r="I25" s="7">
        <f>18+4</f>
        <v>22</v>
      </c>
      <c r="J25">
        <v>45.855707732594901</v>
      </c>
      <c r="K25">
        <v>21</v>
      </c>
      <c r="L25">
        <v>31.0321</v>
      </c>
      <c r="M25">
        <v>18432</v>
      </c>
    </row>
    <row r="26" spans="1:13" x14ac:dyDescent="0.2">
      <c r="A26" t="s">
        <v>13</v>
      </c>
      <c r="B26" t="s">
        <v>14</v>
      </c>
      <c r="C26">
        <v>203625</v>
      </c>
      <c r="D26" t="s">
        <v>25</v>
      </c>
      <c r="E26">
        <v>1100085</v>
      </c>
      <c r="F26" t="s">
        <v>28</v>
      </c>
      <c r="G26" t="s">
        <v>27</v>
      </c>
      <c r="H26">
        <v>28.98</v>
      </c>
      <c r="I26" s="7">
        <f>18+4</f>
        <v>22</v>
      </c>
      <c r="J26">
        <v>40.763772760730603</v>
      </c>
      <c r="K26">
        <v>31.5</v>
      </c>
      <c r="L26">
        <v>37.267800000000001</v>
      </c>
      <c r="M26">
        <v>18343</v>
      </c>
    </row>
    <row r="27" spans="1:13" x14ac:dyDescent="0.2">
      <c r="A27" t="s">
        <v>13</v>
      </c>
      <c r="B27" t="s">
        <v>14</v>
      </c>
      <c r="C27">
        <v>204200</v>
      </c>
      <c r="D27" t="s">
        <v>29</v>
      </c>
      <c r="E27">
        <v>1101980</v>
      </c>
      <c r="F27" t="s">
        <v>30</v>
      </c>
      <c r="G27" t="s">
        <v>31</v>
      </c>
      <c r="H27">
        <v>25.9</v>
      </c>
      <c r="I27">
        <v>18</v>
      </c>
      <c r="J27">
        <v>36.879789406277922</v>
      </c>
      <c r="K27">
        <v>9.4499999999999993</v>
      </c>
      <c r="L27">
        <v>53.2575</v>
      </c>
      <c r="M27">
        <v>20069</v>
      </c>
    </row>
    <row r="28" spans="1:13" x14ac:dyDescent="0.2">
      <c r="A28" t="s">
        <v>13</v>
      </c>
      <c r="B28" t="s">
        <v>14</v>
      </c>
      <c r="C28">
        <v>202016</v>
      </c>
      <c r="D28" t="s">
        <v>32</v>
      </c>
      <c r="E28">
        <v>1102410</v>
      </c>
      <c r="F28" t="s">
        <v>35</v>
      </c>
      <c r="G28" t="s">
        <v>34</v>
      </c>
      <c r="H28">
        <v>22.58</v>
      </c>
      <c r="I28">
        <v>18</v>
      </c>
      <c r="J28">
        <v>80.099999999999994</v>
      </c>
      <c r="K28">
        <v>37.799999999999997</v>
      </c>
      <c r="L28">
        <v>1</v>
      </c>
      <c r="M28">
        <v>5040</v>
      </c>
    </row>
    <row r="29" spans="1:13" x14ac:dyDescent="0.2">
      <c r="A29" t="s">
        <v>13</v>
      </c>
      <c r="B29" t="s">
        <v>14</v>
      </c>
      <c r="C29">
        <v>202016</v>
      </c>
      <c r="D29" t="s">
        <v>32</v>
      </c>
      <c r="E29">
        <v>1100816</v>
      </c>
      <c r="F29" t="s">
        <v>36</v>
      </c>
      <c r="G29" t="s">
        <v>34</v>
      </c>
      <c r="H29">
        <v>21.39</v>
      </c>
      <c r="I29">
        <v>18</v>
      </c>
      <c r="J29">
        <v>80.099999999999994</v>
      </c>
      <c r="K29">
        <v>37.799999999999997</v>
      </c>
      <c r="L29">
        <v>1</v>
      </c>
      <c r="M29">
        <v>1654</v>
      </c>
    </row>
    <row r="30" spans="1:13" x14ac:dyDescent="0.2">
      <c r="A30" t="s">
        <v>13</v>
      </c>
      <c r="B30" t="s">
        <v>14</v>
      </c>
      <c r="C30">
        <v>90002638</v>
      </c>
      <c r="D30" t="s">
        <v>37</v>
      </c>
      <c r="E30">
        <v>1100991</v>
      </c>
      <c r="F30" t="s">
        <v>38</v>
      </c>
      <c r="G30" t="s">
        <v>17</v>
      </c>
      <c r="H30">
        <v>6</v>
      </c>
      <c r="I30">
        <v>1</v>
      </c>
      <c r="J30">
        <v>20</v>
      </c>
      <c r="K30">
        <v>189</v>
      </c>
      <c r="L30">
        <v>1</v>
      </c>
      <c r="M30">
        <v>3000</v>
      </c>
    </row>
    <row r="31" spans="1:13" x14ac:dyDescent="0.2">
      <c r="A31" t="s">
        <v>13</v>
      </c>
      <c r="B31" t="s">
        <v>14</v>
      </c>
      <c r="C31">
        <v>90010204</v>
      </c>
      <c r="D31" t="s">
        <v>39</v>
      </c>
      <c r="E31">
        <v>1102438</v>
      </c>
      <c r="F31" t="s">
        <v>40</v>
      </c>
      <c r="G31" t="s">
        <v>31</v>
      </c>
      <c r="H31">
        <v>2</v>
      </c>
      <c r="I31">
        <v>1</v>
      </c>
      <c r="J31">
        <v>20</v>
      </c>
      <c r="K31">
        <v>27</v>
      </c>
      <c r="L31">
        <v>1</v>
      </c>
      <c r="M31">
        <v>13307</v>
      </c>
    </row>
    <row r="32" spans="1:13" x14ac:dyDescent="0.2">
      <c r="A32" t="s">
        <v>13</v>
      </c>
      <c r="B32" t="s">
        <v>14</v>
      </c>
      <c r="C32">
        <v>90010204</v>
      </c>
      <c r="D32" t="s">
        <v>41</v>
      </c>
      <c r="E32">
        <v>1102438</v>
      </c>
      <c r="F32" t="s">
        <v>40</v>
      </c>
      <c r="G32" t="s">
        <v>27</v>
      </c>
      <c r="H32">
        <v>2</v>
      </c>
      <c r="I32">
        <v>1</v>
      </c>
      <c r="J32">
        <v>20</v>
      </c>
      <c r="K32">
        <v>27</v>
      </c>
      <c r="L32">
        <v>1</v>
      </c>
      <c r="M32">
        <v>13307</v>
      </c>
    </row>
    <row r="33" spans="1:13" x14ac:dyDescent="0.2">
      <c r="A33" t="s">
        <v>13</v>
      </c>
      <c r="B33" t="s">
        <v>14</v>
      </c>
      <c r="C33">
        <v>200562</v>
      </c>
      <c r="D33" t="s">
        <v>42</v>
      </c>
      <c r="E33">
        <v>1102356</v>
      </c>
      <c r="F33" t="s">
        <v>43</v>
      </c>
      <c r="G33" t="s">
        <v>44</v>
      </c>
      <c r="H33">
        <v>30</v>
      </c>
      <c r="I33">
        <v>18</v>
      </c>
      <c r="J33">
        <v>20</v>
      </c>
      <c r="K33">
        <v>180</v>
      </c>
      <c r="L33">
        <v>1</v>
      </c>
      <c r="M33">
        <v>1800</v>
      </c>
    </row>
    <row r="34" spans="1:13" x14ac:dyDescent="0.2">
      <c r="A34" t="s">
        <v>13</v>
      </c>
      <c r="B34" t="s">
        <v>14</v>
      </c>
      <c r="C34">
        <v>90010204</v>
      </c>
      <c r="D34" t="s">
        <v>45</v>
      </c>
      <c r="E34">
        <v>1102277</v>
      </c>
      <c r="F34" t="s">
        <v>46</v>
      </c>
      <c r="G34" t="s">
        <v>31</v>
      </c>
      <c r="H34">
        <v>2</v>
      </c>
      <c r="I34">
        <v>8</v>
      </c>
      <c r="J34">
        <v>40</v>
      </c>
      <c r="K34">
        <v>2.9077000000000002</v>
      </c>
      <c r="L34">
        <v>49.6387</v>
      </c>
      <c r="M34">
        <v>14529</v>
      </c>
    </row>
    <row r="35" spans="1:13" x14ac:dyDescent="0.2">
      <c r="A35" t="s">
        <v>13</v>
      </c>
      <c r="B35" t="s">
        <v>14</v>
      </c>
      <c r="C35">
        <v>90010204</v>
      </c>
      <c r="D35" t="s">
        <v>47</v>
      </c>
      <c r="E35">
        <v>1102277</v>
      </c>
      <c r="F35" t="s">
        <v>46</v>
      </c>
      <c r="G35" t="s">
        <v>27</v>
      </c>
      <c r="H35">
        <v>2</v>
      </c>
      <c r="I35">
        <v>8</v>
      </c>
      <c r="J35">
        <v>40</v>
      </c>
      <c r="K35">
        <v>2.9077000000000002</v>
      </c>
      <c r="L35">
        <v>49.6387</v>
      </c>
      <c r="M35">
        <v>14529</v>
      </c>
    </row>
    <row r="36" spans="1:13" x14ac:dyDescent="0.2">
      <c r="A36" t="s">
        <v>13</v>
      </c>
      <c r="B36" t="s">
        <v>14</v>
      </c>
      <c r="C36">
        <v>616</v>
      </c>
      <c r="D36" t="s">
        <v>51</v>
      </c>
      <c r="E36">
        <v>1100114</v>
      </c>
      <c r="F36" t="s">
        <v>52</v>
      </c>
      <c r="G36" t="s">
        <v>53</v>
      </c>
      <c r="H36">
        <v>46.78</v>
      </c>
      <c r="I36">
        <v>18</v>
      </c>
      <c r="J36">
        <v>60</v>
      </c>
      <c r="K36">
        <v>9.9474</v>
      </c>
      <c r="L36">
        <v>37.438800000000001</v>
      </c>
      <c r="M36">
        <v>80640</v>
      </c>
    </row>
    <row r="37" spans="1:13" x14ac:dyDescent="0.2">
      <c r="A37" t="s">
        <v>13</v>
      </c>
      <c r="B37" t="s">
        <v>14</v>
      </c>
      <c r="C37">
        <v>616</v>
      </c>
      <c r="D37" t="s">
        <v>51</v>
      </c>
      <c r="E37">
        <v>1100114</v>
      </c>
      <c r="F37" t="s">
        <v>52</v>
      </c>
      <c r="G37" t="s">
        <v>54</v>
      </c>
      <c r="H37">
        <v>46.78</v>
      </c>
      <c r="I37">
        <v>18</v>
      </c>
      <c r="J37">
        <v>60</v>
      </c>
      <c r="K37">
        <v>9.9474</v>
      </c>
      <c r="L37">
        <v>37.438800000000001</v>
      </c>
      <c r="M37">
        <v>80640</v>
      </c>
    </row>
    <row r="38" spans="1:13" x14ac:dyDescent="0.2">
      <c r="A38" t="s">
        <v>13</v>
      </c>
      <c r="B38" t="s">
        <v>14</v>
      </c>
      <c r="C38">
        <v>616</v>
      </c>
      <c r="D38" t="s">
        <v>51</v>
      </c>
      <c r="E38">
        <v>1100088</v>
      </c>
      <c r="F38" t="s">
        <v>55</v>
      </c>
      <c r="G38" t="s">
        <v>54</v>
      </c>
      <c r="H38">
        <v>31.14</v>
      </c>
      <c r="I38">
        <v>18</v>
      </c>
      <c r="J38">
        <v>60</v>
      </c>
      <c r="K38">
        <v>7</v>
      </c>
      <c r="L38">
        <v>68.657200000000003</v>
      </c>
      <c r="M38">
        <v>40320</v>
      </c>
    </row>
    <row r="39" spans="1:13" x14ac:dyDescent="0.2">
      <c r="A39" t="s">
        <v>13</v>
      </c>
      <c r="B39" t="s">
        <v>14</v>
      </c>
      <c r="C39">
        <v>150417</v>
      </c>
      <c r="D39" t="s">
        <v>56</v>
      </c>
      <c r="E39">
        <v>1100520</v>
      </c>
      <c r="F39" t="s">
        <v>57</v>
      </c>
      <c r="G39" t="s">
        <v>17</v>
      </c>
      <c r="H39">
        <v>8</v>
      </c>
      <c r="I39">
        <f>1+1</f>
        <v>2</v>
      </c>
      <c r="J39">
        <v>20</v>
      </c>
      <c r="K39">
        <v>6.0968</v>
      </c>
      <c r="L39">
        <v>51.9557</v>
      </c>
      <c r="M39">
        <v>28000</v>
      </c>
    </row>
    <row r="40" spans="1:13" x14ac:dyDescent="0.2">
      <c r="A40" t="s">
        <v>13</v>
      </c>
      <c r="B40" t="s">
        <v>14</v>
      </c>
      <c r="C40">
        <v>114735</v>
      </c>
      <c r="D40" t="s">
        <v>58</v>
      </c>
      <c r="E40">
        <v>1100520</v>
      </c>
      <c r="F40" t="s">
        <v>57</v>
      </c>
      <c r="G40" t="s">
        <v>17</v>
      </c>
      <c r="H40">
        <f>3+1</f>
        <v>4</v>
      </c>
      <c r="I40">
        <f>1+1</f>
        <v>2</v>
      </c>
      <c r="J40">
        <v>20</v>
      </c>
      <c r="K40">
        <v>6.75</v>
      </c>
      <c r="L40">
        <v>42.614600000000003</v>
      </c>
      <c r="M40">
        <v>25000</v>
      </c>
    </row>
    <row r="41" spans="1:13" x14ac:dyDescent="0.2">
      <c r="A41" t="s">
        <v>13</v>
      </c>
      <c r="B41" t="s">
        <v>14</v>
      </c>
      <c r="C41">
        <v>149500</v>
      </c>
      <c r="D41" t="s">
        <v>59</v>
      </c>
      <c r="E41">
        <v>1100946</v>
      </c>
      <c r="F41" t="s">
        <v>60</v>
      </c>
      <c r="G41" t="s">
        <v>17</v>
      </c>
      <c r="H41">
        <v>3</v>
      </c>
      <c r="I41">
        <v>1</v>
      </c>
      <c r="J41">
        <v>20</v>
      </c>
      <c r="K41">
        <v>15</v>
      </c>
      <c r="L41">
        <v>1</v>
      </c>
      <c r="M41">
        <v>20000</v>
      </c>
    </row>
    <row r="42" spans="1:13" x14ac:dyDescent="0.2">
      <c r="A42" t="s">
        <v>13</v>
      </c>
      <c r="B42" t="s">
        <v>14</v>
      </c>
      <c r="C42">
        <v>114766</v>
      </c>
      <c r="D42" t="s">
        <v>61</v>
      </c>
      <c r="E42">
        <v>1100658</v>
      </c>
      <c r="F42" t="s">
        <v>62</v>
      </c>
      <c r="G42" t="s">
        <v>17</v>
      </c>
      <c r="H42">
        <v>5</v>
      </c>
      <c r="I42">
        <f>1+5</f>
        <v>6</v>
      </c>
      <c r="J42">
        <v>40</v>
      </c>
      <c r="K42">
        <v>4.2</v>
      </c>
      <c r="L42">
        <v>32.6599</v>
      </c>
      <c r="M42">
        <v>14668</v>
      </c>
    </row>
    <row r="43" spans="1:13" x14ac:dyDescent="0.2">
      <c r="A43" t="s">
        <v>13</v>
      </c>
      <c r="B43" t="s">
        <v>14</v>
      </c>
      <c r="C43">
        <v>204119</v>
      </c>
      <c r="D43" t="s">
        <v>66</v>
      </c>
      <c r="E43">
        <v>1100047</v>
      </c>
      <c r="F43" t="s">
        <v>67</v>
      </c>
      <c r="G43" t="s">
        <v>27</v>
      </c>
      <c r="H43">
        <v>26.36</v>
      </c>
      <c r="I43">
        <v>18</v>
      </c>
      <c r="J43">
        <v>16.979834271633401</v>
      </c>
      <c r="K43">
        <v>95</v>
      </c>
      <c r="L43">
        <v>43.301299999999998</v>
      </c>
      <c r="M43">
        <v>2000</v>
      </c>
    </row>
    <row r="44" spans="1:13" x14ac:dyDescent="0.2">
      <c r="A44" t="s">
        <v>13</v>
      </c>
      <c r="B44" t="s">
        <v>14</v>
      </c>
      <c r="C44">
        <v>202554</v>
      </c>
      <c r="D44" t="s">
        <v>68</v>
      </c>
      <c r="E44">
        <v>1101068</v>
      </c>
      <c r="F44" t="s">
        <v>69</v>
      </c>
      <c r="G44" t="s">
        <v>50</v>
      </c>
      <c r="H44">
        <v>45.25</v>
      </c>
      <c r="I44">
        <v>18</v>
      </c>
      <c r="J44">
        <v>13.07370625401763</v>
      </c>
      <c r="K44">
        <v>88</v>
      </c>
      <c r="L44">
        <v>1</v>
      </c>
      <c r="M44">
        <v>8600</v>
      </c>
    </row>
    <row r="45" spans="1:13" x14ac:dyDescent="0.2">
      <c r="A45" t="s">
        <v>13</v>
      </c>
      <c r="B45" t="s">
        <v>14</v>
      </c>
      <c r="C45">
        <v>90000867</v>
      </c>
      <c r="D45" t="s">
        <v>70</v>
      </c>
      <c r="E45">
        <v>1101932</v>
      </c>
      <c r="F45" t="s">
        <v>71</v>
      </c>
      <c r="G45" t="s">
        <v>72</v>
      </c>
      <c r="H45">
        <v>22.54</v>
      </c>
      <c r="I45">
        <f>18+4</f>
        <v>22</v>
      </c>
      <c r="J45">
        <v>23.981884188502981</v>
      </c>
      <c r="K45">
        <v>20</v>
      </c>
      <c r="L45">
        <v>36.596299999999999</v>
      </c>
      <c r="M45">
        <v>27500</v>
      </c>
    </row>
    <row r="46" spans="1:13" x14ac:dyDescent="0.2">
      <c r="A46" t="s">
        <v>13</v>
      </c>
      <c r="B46" t="s">
        <v>14</v>
      </c>
      <c r="C46">
        <v>203403</v>
      </c>
      <c r="D46" t="s">
        <v>73</v>
      </c>
      <c r="E46">
        <v>1102008</v>
      </c>
      <c r="F46" t="s">
        <v>74</v>
      </c>
      <c r="G46" t="s">
        <v>75</v>
      </c>
      <c r="H46">
        <v>55.5</v>
      </c>
      <c r="I46">
        <v>18</v>
      </c>
      <c r="J46">
        <v>29.4155387458812</v>
      </c>
      <c r="K46">
        <v>40</v>
      </c>
      <c r="L46">
        <v>55.777299999999997</v>
      </c>
      <c r="M46">
        <v>16000</v>
      </c>
    </row>
    <row r="47" spans="1:13" x14ac:dyDescent="0.2">
      <c r="A47" t="s">
        <v>13</v>
      </c>
      <c r="B47" t="s">
        <v>14</v>
      </c>
      <c r="C47">
        <v>622806</v>
      </c>
      <c r="D47" t="s">
        <v>76</v>
      </c>
      <c r="E47">
        <v>1101441</v>
      </c>
      <c r="F47" t="s">
        <v>77</v>
      </c>
      <c r="G47" t="s">
        <v>78</v>
      </c>
      <c r="H47">
        <v>2</v>
      </c>
      <c r="I47">
        <v>18</v>
      </c>
      <c r="J47">
        <v>20</v>
      </c>
      <c r="K47">
        <v>90</v>
      </c>
      <c r="L47">
        <v>1</v>
      </c>
      <c r="M47">
        <v>1200</v>
      </c>
    </row>
    <row r="48" spans="1:13" x14ac:dyDescent="0.2">
      <c r="A48" t="s">
        <v>13</v>
      </c>
      <c r="B48" t="s">
        <v>14</v>
      </c>
      <c r="C48">
        <v>677505</v>
      </c>
      <c r="D48" t="s">
        <v>82</v>
      </c>
      <c r="E48">
        <v>1101065</v>
      </c>
      <c r="F48" t="s">
        <v>83</v>
      </c>
      <c r="G48" t="s">
        <v>27</v>
      </c>
      <c r="H48">
        <v>24.67</v>
      </c>
      <c r="I48">
        <v>18</v>
      </c>
      <c r="J48">
        <v>7.2753045785571793</v>
      </c>
      <c r="K48">
        <v>100</v>
      </c>
      <c r="L48">
        <v>1</v>
      </c>
      <c r="M48">
        <v>2000</v>
      </c>
    </row>
    <row r="49" spans="1:13" x14ac:dyDescent="0.2">
      <c r="A49" t="s">
        <v>13</v>
      </c>
      <c r="B49" t="s">
        <v>14</v>
      </c>
      <c r="C49">
        <v>204000</v>
      </c>
      <c r="D49" t="s">
        <v>86</v>
      </c>
      <c r="E49">
        <v>1101861</v>
      </c>
      <c r="F49" t="s">
        <v>87</v>
      </c>
      <c r="G49" t="s">
        <v>78</v>
      </c>
      <c r="H49">
        <v>44.84</v>
      </c>
      <c r="I49">
        <v>18</v>
      </c>
      <c r="J49">
        <v>3.8036288715636539</v>
      </c>
      <c r="K49">
        <v>189</v>
      </c>
      <c r="L49">
        <v>1</v>
      </c>
      <c r="M49">
        <v>5000</v>
      </c>
    </row>
    <row r="50" spans="1:13" x14ac:dyDescent="0.2">
      <c r="A50" t="s">
        <v>13</v>
      </c>
      <c r="B50" t="s">
        <v>14</v>
      </c>
      <c r="C50">
        <v>204000</v>
      </c>
      <c r="D50" t="s">
        <v>86</v>
      </c>
      <c r="E50">
        <v>1100689</v>
      </c>
      <c r="F50" t="s">
        <v>88</v>
      </c>
      <c r="G50" t="s">
        <v>78</v>
      </c>
      <c r="H50">
        <v>43.91</v>
      </c>
      <c r="I50">
        <v>18</v>
      </c>
      <c r="J50">
        <v>1.3323467750529829</v>
      </c>
      <c r="K50">
        <v>189</v>
      </c>
      <c r="L50">
        <v>1</v>
      </c>
      <c r="M50">
        <v>1000</v>
      </c>
    </row>
    <row r="51" spans="1:13" x14ac:dyDescent="0.2">
      <c r="A51" t="s">
        <v>13</v>
      </c>
      <c r="B51" t="s">
        <v>14</v>
      </c>
      <c r="C51">
        <v>204210</v>
      </c>
      <c r="D51" t="s">
        <v>89</v>
      </c>
      <c r="E51">
        <v>1100703</v>
      </c>
      <c r="F51" t="s">
        <v>90</v>
      </c>
      <c r="G51" t="s">
        <v>50</v>
      </c>
      <c r="H51">
        <v>30</v>
      </c>
      <c r="I51">
        <v>18</v>
      </c>
      <c r="J51">
        <v>1</v>
      </c>
      <c r="K51">
        <v>30</v>
      </c>
      <c r="L51">
        <v>1</v>
      </c>
      <c r="M51">
        <v>500</v>
      </c>
    </row>
    <row r="52" spans="1:13" x14ac:dyDescent="0.2">
      <c r="A52" t="s">
        <v>13</v>
      </c>
      <c r="B52" t="s">
        <v>14</v>
      </c>
      <c r="C52">
        <v>203180</v>
      </c>
      <c r="D52" t="s">
        <v>91</v>
      </c>
      <c r="E52">
        <v>1100590</v>
      </c>
      <c r="F52" t="s">
        <v>92</v>
      </c>
      <c r="G52" t="s">
        <v>50</v>
      </c>
      <c r="H52">
        <v>75.040000000000006</v>
      </c>
      <c r="I52">
        <v>18</v>
      </c>
      <c r="J52">
        <v>4.9448026656401929</v>
      </c>
      <c r="K52">
        <v>189</v>
      </c>
      <c r="L52">
        <v>1</v>
      </c>
      <c r="M52">
        <v>2921.16</v>
      </c>
    </row>
    <row r="53" spans="1:13" x14ac:dyDescent="0.2">
      <c r="A53" t="s">
        <v>13</v>
      </c>
      <c r="B53" t="s">
        <v>14</v>
      </c>
      <c r="C53">
        <v>202327</v>
      </c>
      <c r="D53" t="s">
        <v>93</v>
      </c>
      <c r="E53">
        <v>1100033</v>
      </c>
      <c r="F53" t="s">
        <v>94</v>
      </c>
      <c r="G53" t="s">
        <v>27</v>
      </c>
      <c r="H53">
        <v>40.299999999999997</v>
      </c>
      <c r="I53">
        <v>18</v>
      </c>
      <c r="J53">
        <v>33.247133723472253</v>
      </c>
      <c r="K53">
        <v>189</v>
      </c>
      <c r="L53">
        <v>1</v>
      </c>
      <c r="M53">
        <v>2000</v>
      </c>
    </row>
    <row r="54" spans="1:13" x14ac:dyDescent="0.2">
      <c r="A54" t="s">
        <v>13</v>
      </c>
      <c r="B54" t="s">
        <v>14</v>
      </c>
      <c r="C54">
        <v>202327</v>
      </c>
      <c r="D54" t="s">
        <v>93</v>
      </c>
      <c r="E54">
        <v>1100539</v>
      </c>
      <c r="F54" t="s">
        <v>95</v>
      </c>
      <c r="G54" t="s">
        <v>27</v>
      </c>
      <c r="H54">
        <v>48.28</v>
      </c>
      <c r="I54">
        <v>18</v>
      </c>
      <c r="J54">
        <v>41.748758027106383</v>
      </c>
      <c r="K54">
        <v>23.625</v>
      </c>
      <c r="L54">
        <v>1</v>
      </c>
      <c r="M54">
        <v>18000</v>
      </c>
    </row>
    <row r="55" spans="1:13" x14ac:dyDescent="0.2">
      <c r="A55" t="s">
        <v>13</v>
      </c>
      <c r="B55" t="s">
        <v>14</v>
      </c>
      <c r="C55">
        <v>202215</v>
      </c>
      <c r="D55" t="s">
        <v>96</v>
      </c>
      <c r="E55">
        <v>1100063</v>
      </c>
      <c r="F55" t="s">
        <v>97</v>
      </c>
      <c r="G55" t="s">
        <v>27</v>
      </c>
      <c r="H55">
        <v>20.61</v>
      </c>
      <c r="I55">
        <v>18</v>
      </c>
      <c r="J55">
        <v>11.408537362401869</v>
      </c>
      <c r="K55">
        <v>40</v>
      </c>
      <c r="L55">
        <v>1</v>
      </c>
      <c r="M55">
        <v>20000</v>
      </c>
    </row>
    <row r="56" spans="1:13" x14ac:dyDescent="0.2">
      <c r="A56" t="s">
        <v>13</v>
      </c>
      <c r="B56" t="s">
        <v>14</v>
      </c>
      <c r="C56">
        <v>202727</v>
      </c>
      <c r="D56" t="s">
        <v>98</v>
      </c>
      <c r="E56">
        <v>1100038</v>
      </c>
      <c r="F56" t="s">
        <v>99</v>
      </c>
      <c r="G56" t="s">
        <v>27</v>
      </c>
      <c r="H56">
        <v>22.6</v>
      </c>
      <c r="I56">
        <v>18</v>
      </c>
      <c r="J56">
        <v>16.048515574639509</v>
      </c>
      <c r="K56">
        <v>48</v>
      </c>
      <c r="L56">
        <v>34.992699999999999</v>
      </c>
      <c r="M56">
        <v>3000</v>
      </c>
    </row>
    <row r="57" spans="1:13" x14ac:dyDescent="0.2">
      <c r="A57" t="s">
        <v>13</v>
      </c>
      <c r="B57" t="s">
        <v>14</v>
      </c>
      <c r="C57">
        <v>202727</v>
      </c>
      <c r="D57" t="s">
        <v>98</v>
      </c>
      <c r="E57">
        <v>1100071</v>
      </c>
      <c r="F57" t="s">
        <v>100</v>
      </c>
      <c r="G57" t="s">
        <v>27</v>
      </c>
      <c r="H57">
        <v>22.9</v>
      </c>
      <c r="I57">
        <v>18</v>
      </c>
      <c r="J57">
        <v>15.12318799851929</v>
      </c>
      <c r="K57">
        <v>50</v>
      </c>
      <c r="L57">
        <v>34.992699999999999</v>
      </c>
      <c r="M57">
        <v>7000</v>
      </c>
    </row>
    <row r="58" spans="1:13" x14ac:dyDescent="0.2">
      <c r="A58" t="s">
        <v>13</v>
      </c>
      <c r="B58" t="s">
        <v>14</v>
      </c>
      <c r="C58">
        <v>202727</v>
      </c>
      <c r="D58" t="s">
        <v>98</v>
      </c>
      <c r="E58">
        <v>1100066</v>
      </c>
      <c r="F58" t="s">
        <v>101</v>
      </c>
      <c r="G58" t="s">
        <v>27</v>
      </c>
      <c r="H58">
        <v>22.75</v>
      </c>
      <c r="I58">
        <v>18</v>
      </c>
      <c r="J58">
        <v>14.69987872650076</v>
      </c>
      <c r="K58">
        <v>50</v>
      </c>
      <c r="L58">
        <v>33.071899999999999</v>
      </c>
      <c r="M58">
        <v>11000</v>
      </c>
    </row>
    <row r="59" spans="1:13" x14ac:dyDescent="0.2">
      <c r="A59" t="s">
        <v>13</v>
      </c>
      <c r="B59" t="s">
        <v>14</v>
      </c>
      <c r="C59">
        <v>202727</v>
      </c>
      <c r="D59" t="s">
        <v>98</v>
      </c>
      <c r="E59">
        <v>1100052</v>
      </c>
      <c r="F59" t="s">
        <v>102</v>
      </c>
      <c r="G59" t="s">
        <v>27</v>
      </c>
      <c r="H59">
        <v>23.76</v>
      </c>
      <c r="I59">
        <v>18</v>
      </c>
      <c r="J59">
        <v>10.951684758085619</v>
      </c>
      <c r="K59">
        <v>94.5</v>
      </c>
      <c r="L59">
        <v>1</v>
      </c>
      <c r="M59">
        <v>10000</v>
      </c>
    </row>
    <row r="60" spans="1:13" x14ac:dyDescent="0.2">
      <c r="A60" t="s">
        <v>13</v>
      </c>
      <c r="B60" t="s">
        <v>14</v>
      </c>
      <c r="C60">
        <v>204165</v>
      </c>
      <c r="D60" t="s">
        <v>103</v>
      </c>
      <c r="E60">
        <v>1100582</v>
      </c>
      <c r="F60" t="s">
        <v>104</v>
      </c>
      <c r="G60" t="s">
        <v>105</v>
      </c>
      <c r="H60">
        <v>59.85</v>
      </c>
      <c r="I60">
        <v>18</v>
      </c>
      <c r="J60">
        <v>29.592055545019221</v>
      </c>
      <c r="K60">
        <v>47.25</v>
      </c>
      <c r="L60">
        <v>1</v>
      </c>
      <c r="M60">
        <v>10000</v>
      </c>
    </row>
    <row r="61" spans="1:13" x14ac:dyDescent="0.2">
      <c r="A61" t="s">
        <v>13</v>
      </c>
      <c r="B61" t="s">
        <v>14</v>
      </c>
      <c r="C61">
        <v>201662</v>
      </c>
      <c r="D61" t="s">
        <v>106</v>
      </c>
      <c r="E61">
        <v>1100072</v>
      </c>
      <c r="F61" t="s">
        <v>107</v>
      </c>
      <c r="G61" t="s">
        <v>27</v>
      </c>
      <c r="H61">
        <v>26.71</v>
      </c>
      <c r="I61">
        <v>18</v>
      </c>
      <c r="J61">
        <v>14.42010778415391</v>
      </c>
      <c r="K61">
        <v>94.5</v>
      </c>
      <c r="L61">
        <v>1</v>
      </c>
      <c r="M61">
        <v>10000</v>
      </c>
    </row>
    <row r="62" spans="1:13" x14ac:dyDescent="0.2">
      <c r="A62" t="s">
        <v>13</v>
      </c>
      <c r="B62" t="s">
        <v>14</v>
      </c>
      <c r="C62">
        <v>203258</v>
      </c>
      <c r="D62" t="s">
        <v>108</v>
      </c>
      <c r="E62">
        <v>1100067</v>
      </c>
      <c r="F62" t="s">
        <v>109</v>
      </c>
      <c r="G62" t="s">
        <v>27</v>
      </c>
      <c r="H62">
        <v>32.409999999999997</v>
      </c>
      <c r="I62">
        <v>18</v>
      </c>
      <c r="J62">
        <v>4.5619792334615976</v>
      </c>
      <c r="K62">
        <v>189</v>
      </c>
      <c r="L62">
        <v>1</v>
      </c>
      <c r="M62">
        <v>1000</v>
      </c>
    </row>
    <row r="63" spans="1:13" x14ac:dyDescent="0.2">
      <c r="A63" t="s">
        <v>13</v>
      </c>
      <c r="B63" t="s">
        <v>14</v>
      </c>
      <c r="C63">
        <v>204090</v>
      </c>
      <c r="D63" t="s">
        <v>112</v>
      </c>
      <c r="E63">
        <v>1100659</v>
      </c>
      <c r="F63" t="s">
        <v>113</v>
      </c>
      <c r="G63" t="s">
        <v>44</v>
      </c>
      <c r="H63">
        <v>25.94</v>
      </c>
      <c r="I63">
        <v>18</v>
      </c>
      <c r="J63">
        <v>40</v>
      </c>
      <c r="K63">
        <v>90</v>
      </c>
      <c r="L63">
        <v>1</v>
      </c>
      <c r="M63">
        <v>2000</v>
      </c>
    </row>
    <row r="64" spans="1:13" x14ac:dyDescent="0.2">
      <c r="A64" t="s">
        <v>13</v>
      </c>
      <c r="B64" t="s">
        <v>14</v>
      </c>
      <c r="C64">
        <v>633589</v>
      </c>
      <c r="D64" t="s">
        <v>114</v>
      </c>
      <c r="E64">
        <v>1100687</v>
      </c>
      <c r="F64" t="s">
        <v>115</v>
      </c>
      <c r="G64" t="s">
        <v>116</v>
      </c>
      <c r="H64">
        <v>24.7</v>
      </c>
      <c r="I64">
        <v>8</v>
      </c>
      <c r="J64">
        <v>39.810873644989982</v>
      </c>
      <c r="K64">
        <v>47.25</v>
      </c>
      <c r="L64">
        <v>1</v>
      </c>
      <c r="M64">
        <v>21940</v>
      </c>
    </row>
    <row r="65" spans="1:13" x14ac:dyDescent="0.2">
      <c r="A65" t="s">
        <v>13</v>
      </c>
      <c r="B65" t="s">
        <v>14</v>
      </c>
      <c r="C65">
        <v>90000858</v>
      </c>
      <c r="D65" t="s">
        <v>117</v>
      </c>
      <c r="E65">
        <v>1100687</v>
      </c>
      <c r="F65" t="s">
        <v>115</v>
      </c>
      <c r="G65" t="s">
        <v>34</v>
      </c>
      <c r="H65">
        <v>2</v>
      </c>
      <c r="I65">
        <v>8</v>
      </c>
      <c r="J65">
        <v>20</v>
      </c>
      <c r="K65">
        <v>7.56</v>
      </c>
      <c r="L65">
        <v>35.540900000000001</v>
      </c>
      <c r="M65">
        <v>20010</v>
      </c>
    </row>
    <row r="66" spans="1:13" x14ac:dyDescent="0.2">
      <c r="A66" t="s">
        <v>13</v>
      </c>
      <c r="B66" t="s">
        <v>14</v>
      </c>
      <c r="C66">
        <v>841</v>
      </c>
      <c r="D66" t="s">
        <v>118</v>
      </c>
      <c r="E66">
        <v>1100050</v>
      </c>
      <c r="F66" t="s">
        <v>119</v>
      </c>
      <c r="G66" t="s">
        <v>50</v>
      </c>
      <c r="H66">
        <v>70.489999999999995</v>
      </c>
      <c r="I66">
        <v>18</v>
      </c>
      <c r="J66">
        <v>34.808643087187733</v>
      </c>
      <c r="K66">
        <v>47.25</v>
      </c>
      <c r="L66">
        <v>1</v>
      </c>
      <c r="M66">
        <v>13607.771000000001</v>
      </c>
    </row>
    <row r="67" spans="1:13" x14ac:dyDescent="0.2">
      <c r="A67" t="s">
        <v>13</v>
      </c>
      <c r="B67" t="s">
        <v>14</v>
      </c>
      <c r="C67">
        <v>200562</v>
      </c>
      <c r="D67" t="s">
        <v>120</v>
      </c>
      <c r="E67">
        <v>1102504</v>
      </c>
      <c r="F67" t="s">
        <v>121</v>
      </c>
      <c r="G67" t="s">
        <v>105</v>
      </c>
      <c r="H67">
        <v>57.95</v>
      </c>
      <c r="I67">
        <v>18</v>
      </c>
      <c r="J67">
        <v>24.60494833895282</v>
      </c>
      <c r="K67">
        <v>47.25</v>
      </c>
      <c r="L67">
        <v>43.301299999999998</v>
      </c>
      <c r="M67">
        <v>9000</v>
      </c>
    </row>
    <row r="68" spans="1:13" x14ac:dyDescent="0.2">
      <c r="A68" t="s">
        <v>13</v>
      </c>
      <c r="B68" t="s">
        <v>14</v>
      </c>
      <c r="C68">
        <v>676620</v>
      </c>
      <c r="D68" t="s">
        <v>122</v>
      </c>
      <c r="E68">
        <v>1100690</v>
      </c>
      <c r="F68" t="s">
        <v>123</v>
      </c>
      <c r="G68" t="s">
        <v>78</v>
      </c>
      <c r="H68">
        <v>2</v>
      </c>
      <c r="I68">
        <v>18</v>
      </c>
      <c r="J68">
        <v>50</v>
      </c>
      <c r="K68">
        <v>60</v>
      </c>
      <c r="L68">
        <v>1</v>
      </c>
      <c r="M68">
        <v>1930</v>
      </c>
    </row>
    <row r="69" spans="1:13" x14ac:dyDescent="0.2">
      <c r="A69" t="s">
        <v>13</v>
      </c>
      <c r="B69" t="s">
        <v>14</v>
      </c>
      <c r="C69">
        <v>114737</v>
      </c>
      <c r="D69" t="s">
        <v>124</v>
      </c>
      <c r="E69">
        <v>1100029</v>
      </c>
      <c r="F69" t="s">
        <v>125</v>
      </c>
      <c r="G69" t="s">
        <v>17</v>
      </c>
      <c r="H69">
        <v>4</v>
      </c>
      <c r="I69" s="8">
        <f>1+3</f>
        <v>4</v>
      </c>
      <c r="J69">
        <v>50</v>
      </c>
      <c r="K69">
        <v>4.5</v>
      </c>
      <c r="L69">
        <v>33.141500000000001</v>
      </c>
      <c r="M69">
        <v>7600</v>
      </c>
    </row>
    <row r="70" spans="1:13" x14ac:dyDescent="0.2">
      <c r="A70" t="s">
        <v>13</v>
      </c>
      <c r="B70" t="s">
        <v>14</v>
      </c>
      <c r="C70">
        <v>113216</v>
      </c>
      <c r="D70" t="s">
        <v>126</v>
      </c>
      <c r="E70">
        <v>1100032</v>
      </c>
      <c r="F70" t="s">
        <v>127</v>
      </c>
      <c r="G70" t="s">
        <v>17</v>
      </c>
      <c r="H70">
        <v>3</v>
      </c>
      <c r="I70" s="8">
        <f>1+3</f>
        <v>4</v>
      </c>
      <c r="J70">
        <v>50</v>
      </c>
      <c r="K70">
        <v>11.117599999999999</v>
      </c>
      <c r="L70">
        <v>35.067100000000003</v>
      </c>
      <c r="M70">
        <v>9000</v>
      </c>
    </row>
    <row r="71" spans="1:13" x14ac:dyDescent="0.2">
      <c r="A71" t="s">
        <v>13</v>
      </c>
      <c r="B71" t="s">
        <v>14</v>
      </c>
      <c r="C71">
        <v>113279</v>
      </c>
      <c r="D71" t="s">
        <v>128</v>
      </c>
      <c r="E71">
        <v>1100194</v>
      </c>
      <c r="F71" t="s">
        <v>129</v>
      </c>
      <c r="G71" t="s">
        <v>17</v>
      </c>
      <c r="H71">
        <v>4</v>
      </c>
      <c r="I71" s="8">
        <f>1+3</f>
        <v>4</v>
      </c>
      <c r="J71">
        <v>20</v>
      </c>
      <c r="K71">
        <v>10</v>
      </c>
      <c r="L71">
        <v>1</v>
      </c>
      <c r="M71">
        <v>16000</v>
      </c>
    </row>
    <row r="72" spans="1:13" x14ac:dyDescent="0.2">
      <c r="A72" t="s">
        <v>13</v>
      </c>
      <c r="B72" t="s">
        <v>14</v>
      </c>
      <c r="C72">
        <v>149794</v>
      </c>
      <c r="D72" t="s">
        <v>130</v>
      </c>
      <c r="E72">
        <v>1100194</v>
      </c>
      <c r="F72" t="s">
        <v>129</v>
      </c>
      <c r="G72" t="s">
        <v>17</v>
      </c>
      <c r="H72">
        <v>3</v>
      </c>
      <c r="I72">
        <v>1</v>
      </c>
      <c r="J72">
        <v>20</v>
      </c>
      <c r="K72">
        <v>10</v>
      </c>
      <c r="L72">
        <v>33.364199999999997</v>
      </c>
      <c r="M72">
        <v>21000</v>
      </c>
    </row>
    <row r="73" spans="1:13" x14ac:dyDescent="0.2">
      <c r="A73" t="s">
        <v>13</v>
      </c>
      <c r="B73" t="s">
        <v>14</v>
      </c>
      <c r="C73">
        <v>90009513</v>
      </c>
      <c r="D73" t="s">
        <v>131</v>
      </c>
      <c r="E73">
        <v>1100046</v>
      </c>
      <c r="F73" t="s">
        <v>132</v>
      </c>
      <c r="G73" t="s">
        <v>17</v>
      </c>
      <c r="H73">
        <v>3</v>
      </c>
      <c r="I73">
        <v>1</v>
      </c>
      <c r="J73">
        <v>20</v>
      </c>
      <c r="K73">
        <v>94.5</v>
      </c>
      <c r="L73">
        <v>1</v>
      </c>
      <c r="M73">
        <v>500</v>
      </c>
    </row>
    <row r="74" spans="1:13" x14ac:dyDescent="0.2">
      <c r="A74" t="s">
        <v>13</v>
      </c>
      <c r="B74" t="s">
        <v>14</v>
      </c>
      <c r="C74">
        <v>148822</v>
      </c>
      <c r="D74" t="s">
        <v>79</v>
      </c>
      <c r="E74">
        <v>1100195</v>
      </c>
      <c r="F74" t="s">
        <v>134</v>
      </c>
      <c r="G74" t="s">
        <v>17</v>
      </c>
      <c r="H74">
        <v>4</v>
      </c>
      <c r="I74">
        <v>1</v>
      </c>
      <c r="J74">
        <v>20</v>
      </c>
      <c r="K74">
        <v>14.538500000000001</v>
      </c>
      <c r="L74">
        <v>26.646899999999999</v>
      </c>
      <c r="M74">
        <v>5000</v>
      </c>
    </row>
    <row r="75" spans="1:13" x14ac:dyDescent="0.2">
      <c r="A75" t="s">
        <v>13</v>
      </c>
      <c r="B75" t="s">
        <v>14</v>
      </c>
      <c r="C75">
        <v>113293</v>
      </c>
      <c r="D75" t="s">
        <v>135</v>
      </c>
      <c r="E75">
        <v>1100041</v>
      </c>
      <c r="F75" t="s">
        <v>133</v>
      </c>
      <c r="G75" t="s">
        <v>17</v>
      </c>
      <c r="H75">
        <v>3</v>
      </c>
      <c r="I75" s="8">
        <f>1+3</f>
        <v>4</v>
      </c>
      <c r="J75">
        <v>20</v>
      </c>
      <c r="K75">
        <v>15</v>
      </c>
      <c r="L75">
        <v>34.992699999999999</v>
      </c>
      <c r="M75">
        <v>1000</v>
      </c>
    </row>
    <row r="76" spans="1:13" x14ac:dyDescent="0.2">
      <c r="A76" t="s">
        <v>13</v>
      </c>
      <c r="B76" t="s">
        <v>14</v>
      </c>
      <c r="C76">
        <v>113293</v>
      </c>
      <c r="D76" t="s">
        <v>135</v>
      </c>
      <c r="E76">
        <v>1100195</v>
      </c>
      <c r="F76" t="s">
        <v>134</v>
      </c>
      <c r="G76" t="s">
        <v>17</v>
      </c>
      <c r="H76">
        <v>4</v>
      </c>
      <c r="I76">
        <v>1</v>
      </c>
      <c r="J76">
        <v>20</v>
      </c>
      <c r="K76">
        <v>23.625</v>
      </c>
      <c r="L76">
        <v>33.071899999999999</v>
      </c>
      <c r="M76">
        <v>2000</v>
      </c>
    </row>
    <row r="77" spans="1:13" x14ac:dyDescent="0.2">
      <c r="A77" t="s">
        <v>13</v>
      </c>
      <c r="B77" t="s">
        <v>14</v>
      </c>
      <c r="C77">
        <v>114754</v>
      </c>
      <c r="D77" t="s">
        <v>136</v>
      </c>
      <c r="E77">
        <v>1100058</v>
      </c>
      <c r="F77" t="s">
        <v>137</v>
      </c>
      <c r="G77" t="s">
        <v>17</v>
      </c>
      <c r="H77">
        <v>3</v>
      </c>
      <c r="I77">
        <v>1</v>
      </c>
      <c r="J77">
        <v>40</v>
      </c>
      <c r="K77">
        <v>9.4499999999999993</v>
      </c>
      <c r="L77">
        <v>29.104299999999999</v>
      </c>
      <c r="M77">
        <v>9000</v>
      </c>
    </row>
    <row r="78" spans="1:13" x14ac:dyDescent="0.2">
      <c r="A78" t="s">
        <v>13</v>
      </c>
      <c r="B78" t="s">
        <v>14</v>
      </c>
      <c r="C78">
        <v>116582</v>
      </c>
      <c r="D78" t="s">
        <v>142</v>
      </c>
      <c r="E78">
        <v>1100491</v>
      </c>
      <c r="F78" t="s">
        <v>143</v>
      </c>
      <c r="G78" t="s">
        <v>17</v>
      </c>
      <c r="H78">
        <v>3</v>
      </c>
      <c r="I78">
        <v>1</v>
      </c>
      <c r="J78">
        <v>40</v>
      </c>
      <c r="K78">
        <v>30</v>
      </c>
      <c r="L78">
        <v>33.071899999999999</v>
      </c>
      <c r="M78">
        <v>3000</v>
      </c>
    </row>
    <row r="79" spans="1:13" x14ac:dyDescent="0.2">
      <c r="A79" t="s">
        <v>13</v>
      </c>
      <c r="B79" t="s">
        <v>14</v>
      </c>
      <c r="C79">
        <v>618179</v>
      </c>
      <c r="D79" t="s">
        <v>144</v>
      </c>
      <c r="E79">
        <v>1101569</v>
      </c>
      <c r="F79" t="s">
        <v>145</v>
      </c>
      <c r="G79" t="s">
        <v>17</v>
      </c>
      <c r="H79">
        <v>5</v>
      </c>
      <c r="I79">
        <v>1</v>
      </c>
      <c r="J79">
        <v>20</v>
      </c>
      <c r="K79">
        <v>47.25</v>
      </c>
      <c r="L79">
        <v>1</v>
      </c>
      <c r="M79">
        <v>4130.6000000000004</v>
      </c>
    </row>
    <row r="80" spans="1:13" x14ac:dyDescent="0.2">
      <c r="A80" t="s">
        <v>13</v>
      </c>
      <c r="B80" t="s">
        <v>14</v>
      </c>
      <c r="C80">
        <v>113283</v>
      </c>
      <c r="D80" t="s">
        <v>146</v>
      </c>
      <c r="E80">
        <v>1100935</v>
      </c>
      <c r="F80" t="s">
        <v>147</v>
      </c>
      <c r="G80" t="s">
        <v>17</v>
      </c>
      <c r="H80">
        <v>4</v>
      </c>
      <c r="I80">
        <v>1</v>
      </c>
      <c r="J80">
        <v>40</v>
      </c>
      <c r="K80">
        <v>18.899999999999999</v>
      </c>
      <c r="L80">
        <v>1</v>
      </c>
      <c r="M80">
        <v>12000</v>
      </c>
    </row>
    <row r="81" spans="1:13" x14ac:dyDescent="0.2">
      <c r="A81" t="s">
        <v>13</v>
      </c>
      <c r="B81" t="s">
        <v>14</v>
      </c>
      <c r="C81">
        <v>116582</v>
      </c>
      <c r="D81" t="s">
        <v>142</v>
      </c>
      <c r="E81">
        <v>1101020</v>
      </c>
      <c r="F81" t="s">
        <v>148</v>
      </c>
      <c r="G81" t="s">
        <v>17</v>
      </c>
      <c r="H81">
        <v>3</v>
      </c>
      <c r="I81">
        <v>1</v>
      </c>
      <c r="J81">
        <v>20</v>
      </c>
      <c r="K81">
        <v>63</v>
      </c>
      <c r="L81">
        <v>1</v>
      </c>
      <c r="M81">
        <v>9000</v>
      </c>
    </row>
    <row r="82" spans="1:13" x14ac:dyDescent="0.2">
      <c r="A82" t="s">
        <v>13</v>
      </c>
      <c r="B82" t="s">
        <v>14</v>
      </c>
      <c r="C82">
        <v>143977</v>
      </c>
      <c r="D82" t="s">
        <v>149</v>
      </c>
      <c r="E82">
        <v>1102664</v>
      </c>
      <c r="F82" t="s">
        <v>150</v>
      </c>
      <c r="G82" t="s">
        <v>17</v>
      </c>
      <c r="H82">
        <v>2</v>
      </c>
      <c r="I82">
        <v>1</v>
      </c>
      <c r="J82">
        <v>40</v>
      </c>
      <c r="K82">
        <v>55</v>
      </c>
      <c r="L82">
        <v>1</v>
      </c>
      <c r="M82">
        <v>2000</v>
      </c>
    </row>
    <row r="83" spans="1:13" x14ac:dyDescent="0.2">
      <c r="A83" t="s">
        <v>13</v>
      </c>
      <c r="B83" t="s">
        <v>14</v>
      </c>
      <c r="C83">
        <v>114759</v>
      </c>
      <c r="D83" t="s">
        <v>151</v>
      </c>
      <c r="E83">
        <v>1101667</v>
      </c>
      <c r="F83" t="s">
        <v>152</v>
      </c>
      <c r="G83" t="s">
        <v>17</v>
      </c>
      <c r="H83">
        <v>3</v>
      </c>
      <c r="I83">
        <v>1</v>
      </c>
      <c r="J83">
        <v>20</v>
      </c>
      <c r="K83">
        <v>7</v>
      </c>
      <c r="L83">
        <v>41.223100000000002</v>
      </c>
      <c r="M83">
        <v>17356.5</v>
      </c>
    </row>
    <row r="84" spans="1:13" x14ac:dyDescent="0.2">
      <c r="A84" t="s">
        <v>13</v>
      </c>
      <c r="B84" t="s">
        <v>14</v>
      </c>
      <c r="C84">
        <v>677252</v>
      </c>
      <c r="D84" t="s">
        <v>153</v>
      </c>
      <c r="E84">
        <v>1101667</v>
      </c>
      <c r="F84" t="s">
        <v>152</v>
      </c>
      <c r="G84" t="s">
        <v>17</v>
      </c>
      <c r="H84">
        <v>5</v>
      </c>
      <c r="I84">
        <v>1</v>
      </c>
      <c r="J84">
        <v>20</v>
      </c>
      <c r="K84">
        <v>31.5</v>
      </c>
      <c r="L84">
        <v>1</v>
      </c>
      <c r="M84">
        <v>21160</v>
      </c>
    </row>
    <row r="85" spans="1:13" x14ac:dyDescent="0.2">
      <c r="A85" t="s">
        <v>13</v>
      </c>
      <c r="B85" t="s">
        <v>14</v>
      </c>
      <c r="C85">
        <v>90009513</v>
      </c>
      <c r="D85" t="s">
        <v>131</v>
      </c>
      <c r="E85">
        <v>1102444</v>
      </c>
      <c r="F85" t="s">
        <v>154</v>
      </c>
      <c r="G85" t="s">
        <v>17</v>
      </c>
      <c r="H85">
        <v>3</v>
      </c>
      <c r="I85">
        <v>1</v>
      </c>
      <c r="J85">
        <v>20</v>
      </c>
      <c r="K85">
        <v>37.799999999999997</v>
      </c>
      <c r="L85">
        <v>1</v>
      </c>
      <c r="M85">
        <v>7500</v>
      </c>
    </row>
    <row r="86" spans="1:13" x14ac:dyDescent="0.2">
      <c r="A86" t="s">
        <v>13</v>
      </c>
      <c r="B86" t="s">
        <v>14</v>
      </c>
      <c r="C86">
        <v>203934</v>
      </c>
      <c r="D86" t="s">
        <v>157</v>
      </c>
      <c r="E86">
        <v>1102038</v>
      </c>
      <c r="F86" t="s">
        <v>158</v>
      </c>
      <c r="G86" t="s">
        <v>34</v>
      </c>
      <c r="H86">
        <v>21.76</v>
      </c>
      <c r="I86">
        <v>22</v>
      </c>
      <c r="J86">
        <v>40</v>
      </c>
      <c r="K86">
        <v>7.875</v>
      </c>
      <c r="L86">
        <v>39.528500000000001</v>
      </c>
      <c r="M86">
        <v>33600</v>
      </c>
    </row>
    <row r="87" spans="1:13" x14ac:dyDescent="0.2">
      <c r="A87" t="s">
        <v>13</v>
      </c>
      <c r="B87" t="s">
        <v>14</v>
      </c>
      <c r="C87">
        <v>90003023</v>
      </c>
      <c r="D87" t="s">
        <v>159</v>
      </c>
      <c r="E87">
        <v>1100098</v>
      </c>
      <c r="F87" t="s">
        <v>160</v>
      </c>
      <c r="G87" t="s">
        <v>17</v>
      </c>
      <c r="H87">
        <v>5</v>
      </c>
      <c r="I87" s="8">
        <f>1+3</f>
        <v>4</v>
      </c>
      <c r="J87">
        <v>60</v>
      </c>
      <c r="K87">
        <v>5.7272999999999996</v>
      </c>
      <c r="L87">
        <v>32.269500000000001</v>
      </c>
      <c r="M87">
        <v>25920</v>
      </c>
    </row>
    <row r="88" spans="1:13" x14ac:dyDescent="0.2">
      <c r="A88" t="s">
        <v>13</v>
      </c>
      <c r="B88" t="s">
        <v>14</v>
      </c>
      <c r="C88">
        <v>677416</v>
      </c>
      <c r="D88" t="s">
        <v>161</v>
      </c>
      <c r="E88">
        <v>1102082</v>
      </c>
      <c r="F88" t="s">
        <v>162</v>
      </c>
      <c r="G88" t="s">
        <v>163</v>
      </c>
      <c r="H88">
        <v>11</v>
      </c>
      <c r="I88">
        <v>18</v>
      </c>
      <c r="J88">
        <v>25.496024375953318</v>
      </c>
      <c r="K88">
        <v>23.625</v>
      </c>
      <c r="L88">
        <v>33.071899999999999</v>
      </c>
      <c r="M88">
        <v>20160</v>
      </c>
    </row>
    <row r="89" spans="1:13" x14ac:dyDescent="0.2">
      <c r="A89" t="s">
        <v>13</v>
      </c>
      <c r="B89" t="s">
        <v>14</v>
      </c>
      <c r="C89">
        <v>632835</v>
      </c>
      <c r="D89" t="s">
        <v>164</v>
      </c>
      <c r="E89">
        <v>1102523</v>
      </c>
      <c r="F89" t="s">
        <v>165</v>
      </c>
      <c r="G89" t="s">
        <v>44</v>
      </c>
      <c r="H89">
        <v>22</v>
      </c>
      <c r="I89">
        <v>18</v>
      </c>
      <c r="J89">
        <v>50</v>
      </c>
      <c r="K89">
        <v>120</v>
      </c>
      <c r="L89">
        <v>1</v>
      </c>
      <c r="M89">
        <v>18900</v>
      </c>
    </row>
    <row r="90" spans="1:13" x14ac:dyDescent="0.2">
      <c r="A90" t="s">
        <v>13</v>
      </c>
      <c r="B90" t="s">
        <v>14</v>
      </c>
      <c r="C90">
        <v>841</v>
      </c>
      <c r="D90" t="s">
        <v>118</v>
      </c>
      <c r="E90">
        <v>1100724</v>
      </c>
      <c r="F90" t="s">
        <v>166</v>
      </c>
      <c r="G90" t="s">
        <v>50</v>
      </c>
      <c r="H90">
        <v>72.97</v>
      </c>
      <c r="I90" s="7">
        <f>18+14</f>
        <v>32</v>
      </c>
      <c r="J90">
        <v>36.3989254488272</v>
      </c>
      <c r="K90">
        <v>17.181799999999999</v>
      </c>
      <c r="L90">
        <v>36.078400000000002</v>
      </c>
      <c r="M90">
        <v>20061.937000000002</v>
      </c>
    </row>
    <row r="91" spans="1:13" x14ac:dyDescent="0.2">
      <c r="A91" t="s">
        <v>13</v>
      </c>
      <c r="B91" t="s">
        <v>14</v>
      </c>
      <c r="C91">
        <v>841</v>
      </c>
      <c r="D91" t="s">
        <v>167</v>
      </c>
      <c r="E91">
        <v>1100838</v>
      </c>
      <c r="F91" t="s">
        <v>168</v>
      </c>
      <c r="G91" t="s">
        <v>50</v>
      </c>
      <c r="H91">
        <v>75.66</v>
      </c>
      <c r="I91" s="7">
        <f>18+14</f>
        <v>32</v>
      </c>
      <c r="J91">
        <v>34.545000000000002</v>
      </c>
      <c r="K91">
        <v>20</v>
      </c>
      <c r="L91">
        <v>40</v>
      </c>
      <c r="M91">
        <v>19456.845000000001</v>
      </c>
    </row>
    <row r="92" spans="1:13" x14ac:dyDescent="0.2">
      <c r="A92" t="s">
        <v>13</v>
      </c>
      <c r="B92" t="s">
        <v>14</v>
      </c>
      <c r="C92">
        <v>616</v>
      </c>
      <c r="D92" t="s">
        <v>169</v>
      </c>
      <c r="E92">
        <v>1100100</v>
      </c>
      <c r="F92" t="s">
        <v>170</v>
      </c>
      <c r="G92" t="s">
        <v>171</v>
      </c>
      <c r="H92">
        <v>16.45</v>
      </c>
      <c r="I92">
        <v>18</v>
      </c>
      <c r="J92">
        <v>30</v>
      </c>
      <c r="K92">
        <v>12.6</v>
      </c>
      <c r="L92">
        <v>49.726500000000001</v>
      </c>
      <c r="M92">
        <v>40320</v>
      </c>
    </row>
    <row r="93" spans="1:13" x14ac:dyDescent="0.2">
      <c r="A93" t="s">
        <v>13</v>
      </c>
      <c r="B93" t="s">
        <v>14</v>
      </c>
      <c r="C93">
        <v>616</v>
      </c>
      <c r="D93" t="s">
        <v>169</v>
      </c>
      <c r="E93">
        <v>1100310</v>
      </c>
      <c r="F93" t="s">
        <v>172</v>
      </c>
      <c r="G93" t="s">
        <v>171</v>
      </c>
      <c r="H93">
        <v>14.38</v>
      </c>
      <c r="I93">
        <v>18</v>
      </c>
      <c r="J93">
        <v>32.628769572287943</v>
      </c>
      <c r="K93">
        <v>13.5</v>
      </c>
      <c r="L93">
        <v>36.700699999999998</v>
      </c>
      <c r="M93">
        <v>40320</v>
      </c>
    </row>
    <row r="94" spans="1:13" x14ac:dyDescent="0.2">
      <c r="A94" t="s">
        <v>13</v>
      </c>
      <c r="B94" t="s">
        <v>14</v>
      </c>
      <c r="C94">
        <v>841</v>
      </c>
      <c r="D94" t="s">
        <v>118</v>
      </c>
      <c r="E94">
        <v>1101828</v>
      </c>
      <c r="F94" t="s">
        <v>173</v>
      </c>
      <c r="G94" t="s">
        <v>50</v>
      </c>
      <c r="H94">
        <v>72</v>
      </c>
      <c r="I94" s="7">
        <f>18+14</f>
        <v>32</v>
      </c>
      <c r="J94" s="7">
        <v>28</v>
      </c>
      <c r="K94">
        <v>31.5</v>
      </c>
      <c r="L94">
        <v>47.140500000000003</v>
      </c>
      <c r="M94">
        <v>20753.665000000001</v>
      </c>
    </row>
    <row r="95" spans="1:13" x14ac:dyDescent="0.2">
      <c r="A95" t="s">
        <v>13</v>
      </c>
      <c r="B95" t="s">
        <v>14</v>
      </c>
      <c r="C95">
        <v>204114</v>
      </c>
      <c r="D95" t="s">
        <v>174</v>
      </c>
      <c r="E95">
        <v>1102065</v>
      </c>
      <c r="F95" t="s">
        <v>175</v>
      </c>
      <c r="G95" t="s">
        <v>163</v>
      </c>
      <c r="H95">
        <v>15.58</v>
      </c>
      <c r="I95">
        <v>18</v>
      </c>
      <c r="J95">
        <v>25.382961034562278</v>
      </c>
      <c r="K95">
        <v>47.25</v>
      </c>
      <c r="L95">
        <v>1</v>
      </c>
      <c r="M95">
        <v>16800</v>
      </c>
    </row>
    <row r="96" spans="1:13" x14ac:dyDescent="0.2">
      <c r="A96" t="s">
        <v>13</v>
      </c>
      <c r="B96" t="s">
        <v>14</v>
      </c>
      <c r="C96">
        <v>201750</v>
      </c>
      <c r="D96" t="s">
        <v>176</v>
      </c>
      <c r="E96">
        <v>1102322</v>
      </c>
      <c r="F96" t="s">
        <v>177</v>
      </c>
      <c r="G96" t="s">
        <v>178</v>
      </c>
      <c r="H96">
        <v>22</v>
      </c>
      <c r="I96">
        <v>18</v>
      </c>
      <c r="J96">
        <v>10</v>
      </c>
      <c r="K96">
        <v>94.5</v>
      </c>
      <c r="L96">
        <v>1</v>
      </c>
      <c r="M96">
        <v>18900</v>
      </c>
    </row>
    <row r="97" spans="1:13" x14ac:dyDescent="0.2">
      <c r="A97" t="s">
        <v>13</v>
      </c>
      <c r="B97" t="s">
        <v>14</v>
      </c>
      <c r="C97">
        <v>149137</v>
      </c>
      <c r="D97" t="s">
        <v>159</v>
      </c>
      <c r="E97">
        <v>1100287</v>
      </c>
      <c r="F97" t="s">
        <v>179</v>
      </c>
      <c r="G97" t="s">
        <v>17</v>
      </c>
      <c r="H97">
        <v>4</v>
      </c>
      <c r="I97" s="8">
        <f>1+3</f>
        <v>4</v>
      </c>
      <c r="J97">
        <v>40</v>
      </c>
      <c r="K97">
        <v>23.625</v>
      </c>
      <c r="L97">
        <v>1</v>
      </c>
      <c r="M97">
        <v>25200</v>
      </c>
    </row>
    <row r="98" spans="1:13" x14ac:dyDescent="0.2">
      <c r="A98" t="s">
        <v>13</v>
      </c>
      <c r="B98" t="s">
        <v>14</v>
      </c>
      <c r="C98">
        <v>146809</v>
      </c>
      <c r="D98" t="s">
        <v>180</v>
      </c>
      <c r="E98">
        <v>1100765</v>
      </c>
      <c r="F98" t="s">
        <v>181</v>
      </c>
      <c r="G98" t="s">
        <v>17</v>
      </c>
      <c r="H98">
        <v>6</v>
      </c>
      <c r="I98" s="8">
        <f>1+3</f>
        <v>4</v>
      </c>
      <c r="J98">
        <v>40</v>
      </c>
      <c r="K98">
        <v>9.4499999999999993</v>
      </c>
      <c r="L98">
        <v>46.188000000000002</v>
      </c>
      <c r="M98">
        <v>21420</v>
      </c>
    </row>
    <row r="99" spans="1:13" x14ac:dyDescent="0.2">
      <c r="A99" t="s">
        <v>13</v>
      </c>
      <c r="B99" t="s">
        <v>14</v>
      </c>
      <c r="C99">
        <v>149137</v>
      </c>
      <c r="D99" t="s">
        <v>182</v>
      </c>
      <c r="E99">
        <v>1100765</v>
      </c>
      <c r="F99" t="s">
        <v>181</v>
      </c>
      <c r="G99" t="s">
        <v>17</v>
      </c>
      <c r="H99">
        <v>4</v>
      </c>
      <c r="I99" s="8">
        <f>1+3</f>
        <v>4</v>
      </c>
      <c r="J99">
        <v>40</v>
      </c>
      <c r="K99">
        <v>6.75</v>
      </c>
      <c r="L99">
        <v>43.301299999999998</v>
      </c>
      <c r="M99">
        <v>25200</v>
      </c>
    </row>
    <row r="100" spans="1:13" x14ac:dyDescent="0.2">
      <c r="A100" t="s">
        <v>13</v>
      </c>
      <c r="B100" t="s">
        <v>14</v>
      </c>
      <c r="C100">
        <v>149137</v>
      </c>
      <c r="D100" t="s">
        <v>182</v>
      </c>
      <c r="E100">
        <v>1101287</v>
      </c>
      <c r="F100" t="s">
        <v>183</v>
      </c>
      <c r="G100" t="s">
        <v>17</v>
      </c>
      <c r="H100">
        <v>4</v>
      </c>
      <c r="I100" s="8">
        <f>1+3</f>
        <v>4</v>
      </c>
      <c r="J100">
        <v>40</v>
      </c>
      <c r="K100">
        <v>30</v>
      </c>
      <c r="L100">
        <v>50</v>
      </c>
      <c r="M100">
        <v>25200</v>
      </c>
    </row>
    <row r="101" spans="1:13" x14ac:dyDescent="0.2">
      <c r="A101" t="s">
        <v>13</v>
      </c>
      <c r="B101" t="s">
        <v>14</v>
      </c>
      <c r="C101">
        <v>200562</v>
      </c>
      <c r="D101" t="s">
        <v>184</v>
      </c>
      <c r="E101">
        <v>1102504</v>
      </c>
      <c r="F101" t="s">
        <v>121</v>
      </c>
      <c r="G101" t="s">
        <v>163</v>
      </c>
      <c r="H101">
        <v>57.95</v>
      </c>
      <c r="I101">
        <v>18</v>
      </c>
      <c r="J101">
        <v>24.60494833895282</v>
      </c>
      <c r="K101">
        <v>47.25</v>
      </c>
      <c r="L101">
        <v>43.301299999999998</v>
      </c>
      <c r="M101">
        <v>9000</v>
      </c>
    </row>
    <row r="102" spans="1:13" x14ac:dyDescent="0.2">
      <c r="A102" t="s">
        <v>13</v>
      </c>
      <c r="B102" t="s">
        <v>14</v>
      </c>
      <c r="C102">
        <v>200562</v>
      </c>
      <c r="D102" t="s">
        <v>185</v>
      </c>
      <c r="E102">
        <v>1102425</v>
      </c>
      <c r="F102" t="s">
        <v>186</v>
      </c>
      <c r="G102" t="s">
        <v>27</v>
      </c>
      <c r="H102">
        <v>22.68</v>
      </c>
      <c r="I102">
        <v>18</v>
      </c>
      <c r="J102">
        <v>6.9964136670713799</v>
      </c>
      <c r="K102">
        <v>63</v>
      </c>
      <c r="L102">
        <v>1</v>
      </c>
      <c r="M102">
        <v>14000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0F4C888C3E247BAF35D2B4D0C4B01" ma:contentTypeVersion="6" ma:contentTypeDescription="Create a new document." ma:contentTypeScope="" ma:versionID="b74c3fcc9b2d4b486f41b9af1c8eb7a6">
  <xsd:schema xmlns:xsd="http://www.w3.org/2001/XMLSchema" xmlns:xs="http://www.w3.org/2001/XMLSchema" xmlns:p="http://schemas.microsoft.com/office/2006/metadata/properties" xmlns:ns2="1525da01-8289-4adf-9aef-155ddab9de1b" xmlns:ns3="f1836e8f-289b-491c-9556-67e7084501af" targetNamespace="http://schemas.microsoft.com/office/2006/metadata/properties" ma:root="true" ma:fieldsID="4359aa3c0acb601a6d2eef82da988ac2" ns2:_="" ns3:_="">
    <xsd:import namespace="1525da01-8289-4adf-9aef-155ddab9de1b"/>
    <xsd:import namespace="f1836e8f-289b-491c-9556-67e708450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5da01-8289-4adf-9aef-155ddab9d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36e8f-289b-491c-9556-67e708450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5B9611-7E73-4568-A03D-A3C038ED9F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F601C5-C4FA-40BE-8DCB-F1045D774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25da01-8289-4adf-9aef-155ddab9de1b"/>
    <ds:schemaRef ds:uri="f1836e8f-289b-491c-9556-67e708450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7BCF31-1CE0-4A79-B258-CF55FE8860C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Kinjal Bhoi</dc:creator>
  <cp:lastModifiedBy>Emmanuel Rault</cp:lastModifiedBy>
  <cp:revision>6</cp:revision>
  <dcterms:created xsi:type="dcterms:W3CDTF">2024-10-03T10:29:43Z</dcterms:created>
  <dcterms:modified xsi:type="dcterms:W3CDTF">2026-04-21T09:33:14Z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0x010100FE90F4C888C3E247BAF35D2B4D0C4B01</vt:lpwstr>
  </property>
</Properties>
</file>