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M Planning\Digitization\RM 8 Reasons\New 8 Reasons Tool\SATL Nov25\"/>
    </mc:Choice>
  </mc:AlternateContent>
  <xr:revisionPtr revIDLastSave="0" documentId="13_ncr:1_{6B5D7F65-9B59-4776-A2DA-BFAAEA58B2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C24" i="1"/>
  <c r="C36" i="1"/>
  <c r="C41" i="1"/>
  <c r="C35" i="1"/>
  <c r="C34" i="1"/>
  <c r="C48" i="1"/>
  <c r="C17" i="1"/>
  <c r="C18" i="1"/>
  <c r="C27" i="1"/>
  <c r="C25" i="1"/>
  <c r="C38" i="1"/>
  <c r="C37" i="1"/>
  <c r="C20" i="1"/>
  <c r="C29" i="1"/>
</calcChain>
</file>

<file path=xl/sharedStrings.xml><?xml version="1.0" encoding="utf-8"?>
<sst xmlns="http://schemas.openxmlformats.org/spreadsheetml/2006/main" count="114" uniqueCount="51">
  <si>
    <t>CODE1171</t>
  </si>
  <si>
    <t>CODE4</t>
  </si>
  <si>
    <t>DESCRIPTION</t>
  </si>
  <si>
    <t>Transit Time</t>
  </si>
  <si>
    <t>Supplier</t>
  </si>
  <si>
    <t>Transit Time Std. Dev. (%)</t>
  </si>
  <si>
    <t>JH</t>
  </si>
  <si>
    <t>CODE228</t>
  </si>
  <si>
    <t>CODE405</t>
  </si>
  <si>
    <t>CODE510</t>
  </si>
  <si>
    <t>CODE599</t>
  </si>
  <si>
    <t>CODE630</t>
  </si>
  <si>
    <t>KARSO</t>
  </si>
  <si>
    <t>NAPLO</t>
  </si>
  <si>
    <t>SARDINE</t>
  </si>
  <si>
    <t>BETHUNIC</t>
  </si>
  <si>
    <t>CODE1044</t>
  </si>
  <si>
    <t>CODE1144</t>
  </si>
  <si>
    <t>LUMTINE</t>
  </si>
  <si>
    <t>MILNIC</t>
  </si>
  <si>
    <t>MULTRAX</t>
  </si>
  <si>
    <t>STERAX</t>
  </si>
  <si>
    <t>ZONFLAX</t>
  </si>
  <si>
    <t>OLIVAX</t>
  </si>
  <si>
    <t>NANESIC (ML-7053)</t>
  </si>
  <si>
    <t>ML2036</t>
  </si>
  <si>
    <t>CODE , TRANSPARENT EVA BAG (BLUTRIC)</t>
  </si>
  <si>
    <t>CODE , BLUTRIC</t>
  </si>
  <si>
    <t>BINIC</t>
  </si>
  <si>
    <t>COMODIC</t>
  </si>
  <si>
    <t>CHEFFIC</t>
  </si>
  <si>
    <t>CODE1011</t>
  </si>
  <si>
    <t>KORNATIC</t>
  </si>
  <si>
    <t>RENARDIC</t>
  </si>
  <si>
    <t>Boehnite</t>
  </si>
  <si>
    <t>Sydnine</t>
  </si>
  <si>
    <t>Bijinic</t>
  </si>
  <si>
    <t>CK ( Replacement for UK160)</t>
  </si>
  <si>
    <t>TU32CX 1300D</t>
  </si>
  <si>
    <t>TC28CX ( Pink DIP)</t>
  </si>
  <si>
    <t>RIONIC
RIL: Bromobutyl</t>
  </si>
  <si>
    <t>CORMANIC 
(BUD1208 Repl
RIL PBR Nickel)</t>
  </si>
  <si>
    <t>EVRIC (Tire to Foam) (Sup name Loctite SI 5930 FIT)</t>
  </si>
  <si>
    <t xml:space="preserve">THRACIC (Sup Mat Name : simalfa -3097) </t>
  </si>
  <si>
    <t>Lutrabond</t>
  </si>
  <si>
    <t>CODE-CROYDAX</t>
  </si>
  <si>
    <t>BLACK  M-3902 SAKAIKAGAKU- MAKE</t>
  </si>
  <si>
    <t>CODE</t>
  </si>
  <si>
    <t>I-47-LZ-NY CHAFER FABRIC</t>
  </si>
  <si>
    <t>Plant Code</t>
  </si>
  <si>
    <t>A350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</si>
</sst>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6" fillId="33" borderId="11" xfId="0" applyFont="1" applyFill="1" applyBorder="1"/>
    <xf numFmtId="3" fontId="0" fillId="0" borderId="10" xfId="0" applyNumberFormat="1" applyBorder="1"/>
    <xf numFmtId="0" fontId="18" fillId="34" borderId="10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0" fontId="0" fillId="0" borderId="10" xfId="0" applyNumberFormat="1" applyBorder="1" applyAlignment="1">
      <alignment horizontal="center"/>
    </xf>
    <xf numFmtId="0" fontId="16" fillId="0" borderId="0" xfId="0" applyFont="1"/>
    <xf numFmtId="0" fontId="20" fillId="0" borderId="0" xfId="0" applyFont="1" applyAlignment="1">
      <alignment horizontal="center"/>
    </xf>
    <xf numFmtId="10" fontId="16" fillId="0" borderId="10" xfId="0" applyNumberFormat="1" applyFont="1" applyBorder="1" applyAlignment="1">
      <alignment horizontal="center"/>
    </xf>
    <xf numFmtId="0" fontId="16" fillId="33" borderId="0" xfId="0" applyFont="1" applyFill="1" applyBorder="1"/>
    <xf numFmtId="10" fontId="0" fillId="35" borderId="10" xfId="0" applyNumberFormat="1" applyFill="1" applyBorder="1" applyAlignment="1">
      <alignment horizont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zoomScale="70" zoomScaleNormal="70" workbookViewId="0">
      <pane xSplit="2" ySplit="1" topLeftCell="C2" activePane="bottomRight" state="frozen"/>
      <selection pane="topRight" activeCell="E1" sqref="E1"/>
      <selection pane="bottomLeft" activeCell="A4" sqref="A4"/>
      <selection pane="bottomRight" activeCell="C12" sqref="C12"/>
    </sheetView>
  </sheetViews>
  <sheetFormatPr defaultRowHeight="15" x14ac:dyDescent="0.25"/>
  <cols>
    <col min="1" max="1" width="13.42578125" customWidth="1"/>
    <col min="2" max="2" width="23.28515625" customWidth="1"/>
    <col min="3" max="3" width="19.5703125" customWidth="1"/>
    <col min="4" max="4" width="16.42578125" customWidth="1"/>
    <col min="5" max="5" width="37.85546875" bestFit="1" customWidth="1"/>
  </cols>
  <sheetData>
    <row r="1" spans="1:6" x14ac:dyDescent="0.25">
      <c r="A1" s="2" t="s">
        <v>47</v>
      </c>
      <c r="B1" s="2" t="s">
        <v>2</v>
      </c>
      <c r="C1" s="2" t="s">
        <v>3</v>
      </c>
      <c r="D1" s="2" t="s">
        <v>4</v>
      </c>
      <c r="E1" s="4" t="s">
        <v>5</v>
      </c>
      <c r="F1" s="12" t="s">
        <v>49</v>
      </c>
    </row>
    <row r="2" spans="1:6" x14ac:dyDescent="0.25">
      <c r="A2" s="1">
        <v>1100658</v>
      </c>
      <c r="B2" s="1" t="s">
        <v>6</v>
      </c>
      <c r="C2" s="3">
        <v>5</v>
      </c>
      <c r="D2" s="5">
        <v>114766</v>
      </c>
      <c r="E2" s="8">
        <v>0.4</v>
      </c>
      <c r="F2" t="s">
        <v>50</v>
      </c>
    </row>
    <row r="3" spans="1:6" x14ac:dyDescent="0.25">
      <c r="A3" s="1">
        <v>1100175</v>
      </c>
      <c r="B3" s="1" t="s">
        <v>7</v>
      </c>
      <c r="C3" s="3">
        <v>3</v>
      </c>
      <c r="D3" s="5">
        <v>150136</v>
      </c>
      <c r="E3" s="8">
        <v>0.2</v>
      </c>
      <c r="F3" t="s">
        <v>50</v>
      </c>
    </row>
    <row r="4" spans="1:6" x14ac:dyDescent="0.25">
      <c r="A4">
        <v>1100174</v>
      </c>
      <c r="B4" t="s">
        <v>8</v>
      </c>
      <c r="C4">
        <v>5</v>
      </c>
      <c r="D4" s="5">
        <v>150136</v>
      </c>
      <c r="E4" s="8">
        <v>0.2</v>
      </c>
      <c r="F4" t="s">
        <v>50</v>
      </c>
    </row>
    <row r="5" spans="1:6" x14ac:dyDescent="0.25">
      <c r="A5">
        <v>1100172</v>
      </c>
      <c r="B5" t="s">
        <v>9</v>
      </c>
      <c r="C5">
        <v>3</v>
      </c>
      <c r="D5" s="5">
        <v>150136</v>
      </c>
      <c r="E5" s="8">
        <v>0.2</v>
      </c>
      <c r="F5" t="s">
        <v>50</v>
      </c>
    </row>
    <row r="6" spans="1:6" x14ac:dyDescent="0.25">
      <c r="A6">
        <v>1100219</v>
      </c>
      <c r="B6" t="s">
        <v>10</v>
      </c>
      <c r="C6" s="14">
        <v>7</v>
      </c>
      <c r="D6" s="5">
        <v>150136</v>
      </c>
      <c r="E6" s="13">
        <v>0.5</v>
      </c>
      <c r="F6" t="s">
        <v>50</v>
      </c>
    </row>
    <row r="7" spans="1:6" x14ac:dyDescent="0.25">
      <c r="A7">
        <v>1100173</v>
      </c>
      <c r="B7" t="s">
        <v>11</v>
      </c>
      <c r="C7">
        <v>5</v>
      </c>
      <c r="D7" s="5">
        <v>150136</v>
      </c>
      <c r="E7" s="13">
        <v>0.5</v>
      </c>
      <c r="F7" t="s">
        <v>50</v>
      </c>
    </row>
    <row r="8" spans="1:6" x14ac:dyDescent="0.25">
      <c r="A8">
        <v>1100172</v>
      </c>
      <c r="B8" t="s">
        <v>9</v>
      </c>
      <c r="C8">
        <v>5</v>
      </c>
      <c r="D8" s="5">
        <v>147571</v>
      </c>
      <c r="E8" s="8">
        <v>0.2</v>
      </c>
      <c r="F8" t="s">
        <v>50</v>
      </c>
    </row>
    <row r="9" spans="1:6" x14ac:dyDescent="0.25">
      <c r="A9">
        <v>1100175</v>
      </c>
      <c r="B9" t="s">
        <v>7</v>
      </c>
      <c r="C9">
        <v>5</v>
      </c>
      <c r="D9" s="5">
        <v>147571</v>
      </c>
      <c r="E9" s="8">
        <v>0.2</v>
      </c>
      <c r="F9" t="s">
        <v>50</v>
      </c>
    </row>
    <row r="10" spans="1:6" x14ac:dyDescent="0.25">
      <c r="A10">
        <v>1100172</v>
      </c>
      <c r="B10" t="s">
        <v>9</v>
      </c>
      <c r="C10">
        <v>4</v>
      </c>
      <c r="D10" s="5">
        <v>149508</v>
      </c>
      <c r="E10" s="8">
        <v>0.2</v>
      </c>
      <c r="F10" t="s">
        <v>50</v>
      </c>
    </row>
    <row r="11" spans="1:6" x14ac:dyDescent="0.25">
      <c r="A11">
        <v>1100174</v>
      </c>
      <c r="B11" t="s">
        <v>8</v>
      </c>
      <c r="C11">
        <v>4</v>
      </c>
      <c r="D11" s="5">
        <v>149508</v>
      </c>
      <c r="E11" s="8">
        <v>0.2</v>
      </c>
      <c r="F11" t="s">
        <v>50</v>
      </c>
    </row>
    <row r="12" spans="1:6" x14ac:dyDescent="0.25">
      <c r="A12">
        <v>1100946</v>
      </c>
      <c r="B12" t="s">
        <v>12</v>
      </c>
      <c r="C12">
        <f>5-2</f>
        <v>3</v>
      </c>
      <c r="D12" s="5">
        <v>149500</v>
      </c>
      <c r="E12" s="8">
        <v>0.2</v>
      </c>
      <c r="F12" t="s">
        <v>50</v>
      </c>
    </row>
    <row r="13" spans="1:6" x14ac:dyDescent="0.25">
      <c r="A13">
        <v>1100520</v>
      </c>
      <c r="B13" t="s">
        <v>13</v>
      </c>
      <c r="C13">
        <f>5-2</f>
        <v>3</v>
      </c>
      <c r="D13" s="5">
        <v>114735</v>
      </c>
      <c r="E13" s="8">
        <v>0.2</v>
      </c>
      <c r="F13" t="s">
        <v>50</v>
      </c>
    </row>
    <row r="14" spans="1:6" x14ac:dyDescent="0.25">
      <c r="A14">
        <v>1100520</v>
      </c>
      <c r="B14" t="s">
        <v>13</v>
      </c>
      <c r="C14">
        <f>10-2</f>
        <v>8</v>
      </c>
      <c r="D14" s="5">
        <v>150417</v>
      </c>
      <c r="E14" s="8">
        <v>0.2</v>
      </c>
      <c r="F14" t="s">
        <v>50</v>
      </c>
    </row>
    <row r="15" spans="1:6" x14ac:dyDescent="0.25">
      <c r="A15">
        <v>1101667</v>
      </c>
      <c r="B15" t="s">
        <v>14</v>
      </c>
      <c r="C15">
        <v>3</v>
      </c>
      <c r="D15" s="5">
        <v>114759</v>
      </c>
      <c r="E15" s="8">
        <v>0.2</v>
      </c>
      <c r="F15" t="s">
        <v>50</v>
      </c>
    </row>
    <row r="16" spans="1:6" x14ac:dyDescent="0.25">
      <c r="A16">
        <v>1101667</v>
      </c>
      <c r="B16" t="s">
        <v>14</v>
      </c>
      <c r="C16">
        <v>5</v>
      </c>
      <c r="D16" s="5">
        <v>677252</v>
      </c>
      <c r="E16" s="8">
        <v>0.2</v>
      </c>
      <c r="F16" t="s">
        <v>50</v>
      </c>
    </row>
    <row r="17" spans="1:6" x14ac:dyDescent="0.25">
      <c r="A17">
        <v>1100935</v>
      </c>
      <c r="B17" t="s">
        <v>15</v>
      </c>
      <c r="C17">
        <f>3+1</f>
        <v>4</v>
      </c>
      <c r="D17" s="5">
        <v>113283</v>
      </c>
      <c r="E17" s="8">
        <v>0.4</v>
      </c>
      <c r="F17" t="s">
        <v>50</v>
      </c>
    </row>
    <row r="18" spans="1:6" x14ac:dyDescent="0.25">
      <c r="A18">
        <v>1100070</v>
      </c>
      <c r="B18" t="s">
        <v>16</v>
      </c>
      <c r="C18">
        <f>4+1</f>
        <v>5</v>
      </c>
      <c r="D18" s="5">
        <v>114761</v>
      </c>
      <c r="E18" s="8">
        <v>0.4</v>
      </c>
      <c r="F18" t="s">
        <v>50</v>
      </c>
    </row>
    <row r="19" spans="1:6" x14ac:dyDescent="0.25">
      <c r="A19">
        <v>1100076</v>
      </c>
      <c r="B19" t="s">
        <v>17</v>
      </c>
      <c r="C19">
        <v>4</v>
      </c>
      <c r="D19" s="5">
        <v>149425</v>
      </c>
      <c r="E19" s="8">
        <v>0.4</v>
      </c>
      <c r="F19" t="s">
        <v>50</v>
      </c>
    </row>
    <row r="20" spans="1:6" x14ac:dyDescent="0.25">
      <c r="A20">
        <v>1100032</v>
      </c>
      <c r="B20" t="s">
        <v>1</v>
      </c>
      <c r="C20">
        <f>2+1</f>
        <v>3</v>
      </c>
      <c r="D20" s="5">
        <v>113216</v>
      </c>
      <c r="E20" s="8">
        <v>0.5</v>
      </c>
      <c r="F20" t="s">
        <v>50</v>
      </c>
    </row>
    <row r="21" spans="1:6" x14ac:dyDescent="0.25">
      <c r="A21">
        <v>1102664</v>
      </c>
      <c r="B21" t="s">
        <v>18</v>
      </c>
      <c r="C21">
        <v>2</v>
      </c>
      <c r="D21" s="5">
        <v>143977</v>
      </c>
      <c r="E21" s="8">
        <v>0.4</v>
      </c>
      <c r="F21" t="s">
        <v>50</v>
      </c>
    </row>
    <row r="22" spans="1:6" x14ac:dyDescent="0.25">
      <c r="A22">
        <v>1101020</v>
      </c>
      <c r="B22" t="s">
        <v>19</v>
      </c>
      <c r="C22">
        <v>3</v>
      </c>
      <c r="D22" s="5">
        <v>116582</v>
      </c>
      <c r="E22" s="8">
        <v>0.2</v>
      </c>
      <c r="F22" t="s">
        <v>50</v>
      </c>
    </row>
    <row r="23" spans="1:6" x14ac:dyDescent="0.25">
      <c r="A23">
        <v>1100491</v>
      </c>
      <c r="B23" t="s">
        <v>20</v>
      </c>
      <c r="C23">
        <v>3</v>
      </c>
      <c r="D23" s="5">
        <v>116582</v>
      </c>
      <c r="E23" s="8">
        <v>0.4</v>
      </c>
      <c r="F23" t="s">
        <v>50</v>
      </c>
    </row>
    <row r="24" spans="1:6" x14ac:dyDescent="0.25">
      <c r="A24">
        <v>1100058</v>
      </c>
      <c r="B24" t="s">
        <v>21</v>
      </c>
      <c r="C24">
        <f>3</f>
        <v>3</v>
      </c>
      <c r="D24" s="5">
        <v>114754</v>
      </c>
      <c r="E24" s="8">
        <v>0.4</v>
      </c>
      <c r="F24" t="s">
        <v>50</v>
      </c>
    </row>
    <row r="25" spans="1:6" x14ac:dyDescent="0.25">
      <c r="A25">
        <v>1100041</v>
      </c>
      <c r="B25" t="s">
        <v>22</v>
      </c>
      <c r="C25">
        <f>4-1</f>
        <v>3</v>
      </c>
      <c r="D25" s="5">
        <v>113293</v>
      </c>
      <c r="E25" s="8">
        <v>0.2</v>
      </c>
      <c r="F25" t="s">
        <v>50</v>
      </c>
    </row>
    <row r="26" spans="1:6" x14ac:dyDescent="0.25">
      <c r="A26">
        <v>1100195</v>
      </c>
      <c r="B26" t="s">
        <v>23</v>
      </c>
      <c r="C26">
        <v>4</v>
      </c>
      <c r="D26" s="5">
        <v>113293</v>
      </c>
      <c r="E26" s="8">
        <v>0.2</v>
      </c>
      <c r="F26" t="s">
        <v>50</v>
      </c>
    </row>
    <row r="27" spans="1:6" x14ac:dyDescent="0.25">
      <c r="A27">
        <v>1100041</v>
      </c>
      <c r="B27" t="s">
        <v>22</v>
      </c>
      <c r="C27">
        <f>4-1</f>
        <v>3</v>
      </c>
      <c r="D27" s="5">
        <v>148822</v>
      </c>
      <c r="E27" s="8">
        <v>0.2</v>
      </c>
      <c r="F27" t="s">
        <v>50</v>
      </c>
    </row>
    <row r="28" spans="1:6" x14ac:dyDescent="0.25">
      <c r="A28">
        <v>1100195</v>
      </c>
      <c r="B28" t="s">
        <v>23</v>
      </c>
      <c r="C28">
        <v>4</v>
      </c>
      <c r="D28" s="5">
        <v>148822</v>
      </c>
      <c r="E28" s="8">
        <v>0.2</v>
      </c>
      <c r="F28" t="s">
        <v>50</v>
      </c>
    </row>
    <row r="29" spans="1:6" x14ac:dyDescent="0.25">
      <c r="A29">
        <v>1100029</v>
      </c>
      <c r="B29" t="s">
        <v>0</v>
      </c>
      <c r="C29">
        <f>3+1</f>
        <v>4</v>
      </c>
      <c r="D29" s="5">
        <v>114737</v>
      </c>
      <c r="E29" s="8">
        <v>0.5</v>
      </c>
      <c r="F29" t="s">
        <v>50</v>
      </c>
    </row>
    <row r="30" spans="1:6" x14ac:dyDescent="0.25">
      <c r="A30">
        <v>1102615</v>
      </c>
      <c r="B30" t="s">
        <v>24</v>
      </c>
      <c r="C30">
        <v>2</v>
      </c>
      <c r="D30" s="5">
        <v>113254</v>
      </c>
      <c r="E30" s="8">
        <v>0.2</v>
      </c>
      <c r="F30" t="s">
        <v>50</v>
      </c>
    </row>
    <row r="31" spans="1:6" x14ac:dyDescent="0.25">
      <c r="A31">
        <v>1102660</v>
      </c>
      <c r="B31" t="s">
        <v>25</v>
      </c>
      <c r="C31">
        <v>2</v>
      </c>
      <c r="D31" s="5">
        <v>113254</v>
      </c>
      <c r="E31" s="8">
        <v>0.2</v>
      </c>
      <c r="F31" t="s">
        <v>50</v>
      </c>
    </row>
    <row r="32" spans="1:6" x14ac:dyDescent="0.25">
      <c r="A32">
        <v>1101803</v>
      </c>
      <c r="B32" t="s">
        <v>26</v>
      </c>
      <c r="C32">
        <v>5</v>
      </c>
      <c r="D32" s="5">
        <v>618179</v>
      </c>
      <c r="E32" s="8">
        <v>0.2</v>
      </c>
      <c r="F32" t="s">
        <v>50</v>
      </c>
    </row>
    <row r="33" spans="1:6" x14ac:dyDescent="0.25">
      <c r="A33">
        <v>1101569</v>
      </c>
      <c r="B33" t="s">
        <v>27</v>
      </c>
      <c r="C33">
        <v>5</v>
      </c>
      <c r="D33" s="5">
        <v>618179</v>
      </c>
      <c r="E33" s="8">
        <v>0.2</v>
      </c>
      <c r="F33" t="s">
        <v>50</v>
      </c>
    </row>
    <row r="34" spans="1:6" x14ac:dyDescent="0.25">
      <c r="A34">
        <v>1100287</v>
      </c>
      <c r="B34" t="s">
        <v>28</v>
      </c>
      <c r="C34">
        <f>3+1</f>
        <v>4</v>
      </c>
      <c r="D34" s="5">
        <v>149137</v>
      </c>
      <c r="E34" s="13">
        <v>0.4</v>
      </c>
      <c r="F34" t="s">
        <v>50</v>
      </c>
    </row>
    <row r="35" spans="1:6" x14ac:dyDescent="0.25">
      <c r="A35">
        <v>1100765</v>
      </c>
      <c r="B35" t="s">
        <v>29</v>
      </c>
      <c r="C35">
        <f>3+1</f>
        <v>4</v>
      </c>
      <c r="D35" s="5">
        <v>149137</v>
      </c>
      <c r="E35" s="8">
        <v>0.4</v>
      </c>
      <c r="F35" t="s">
        <v>50</v>
      </c>
    </row>
    <row r="36" spans="1:6" x14ac:dyDescent="0.25">
      <c r="A36">
        <v>1101287</v>
      </c>
      <c r="B36" t="s">
        <v>30</v>
      </c>
      <c r="C36">
        <f>3+1</f>
        <v>4</v>
      </c>
      <c r="D36" s="5">
        <v>149137</v>
      </c>
      <c r="E36" s="8">
        <v>0.4</v>
      </c>
      <c r="F36" t="s">
        <v>50</v>
      </c>
    </row>
    <row r="37" spans="1:6" x14ac:dyDescent="0.25">
      <c r="A37">
        <v>1100194</v>
      </c>
      <c r="B37" t="s">
        <v>31</v>
      </c>
      <c r="C37">
        <f>5-2</f>
        <v>3</v>
      </c>
      <c r="D37" s="5">
        <v>149794</v>
      </c>
      <c r="E37" s="8">
        <v>0.2</v>
      </c>
      <c r="F37" t="s">
        <v>50</v>
      </c>
    </row>
    <row r="38" spans="1:6" x14ac:dyDescent="0.25">
      <c r="A38">
        <v>1100194</v>
      </c>
      <c r="B38" t="s">
        <v>31</v>
      </c>
      <c r="C38">
        <f>6-2</f>
        <v>4</v>
      </c>
      <c r="D38" s="5">
        <v>113279</v>
      </c>
      <c r="E38" s="8">
        <v>0.2</v>
      </c>
      <c r="F38" t="s">
        <v>50</v>
      </c>
    </row>
    <row r="39" spans="1:6" x14ac:dyDescent="0.25">
      <c r="A39">
        <v>1102444</v>
      </c>
      <c r="B39" t="s">
        <v>32</v>
      </c>
      <c r="C39">
        <v>3</v>
      </c>
      <c r="D39" s="6">
        <v>90009513</v>
      </c>
      <c r="E39" s="8">
        <v>0.2</v>
      </c>
      <c r="F39" t="s">
        <v>50</v>
      </c>
    </row>
    <row r="40" spans="1:6" x14ac:dyDescent="0.25">
      <c r="A40">
        <v>1100046</v>
      </c>
      <c r="B40" t="s">
        <v>33</v>
      </c>
      <c r="C40">
        <v>3</v>
      </c>
      <c r="D40" s="6">
        <v>90009513</v>
      </c>
      <c r="E40" s="8">
        <v>0.2</v>
      </c>
      <c r="F40" t="s">
        <v>50</v>
      </c>
    </row>
    <row r="41" spans="1:6" x14ac:dyDescent="0.25">
      <c r="A41">
        <v>1100765</v>
      </c>
      <c r="B41" t="s">
        <v>29</v>
      </c>
      <c r="C41">
        <f>5+1</f>
        <v>6</v>
      </c>
      <c r="D41" s="5">
        <v>146809</v>
      </c>
      <c r="E41" s="8">
        <v>0.4</v>
      </c>
      <c r="F41" t="s">
        <v>50</v>
      </c>
    </row>
    <row r="42" spans="1:6" x14ac:dyDescent="0.25">
      <c r="A42">
        <v>1101441</v>
      </c>
      <c r="B42" t="s">
        <v>34</v>
      </c>
      <c r="C42">
        <v>2</v>
      </c>
      <c r="D42" s="5">
        <v>622806</v>
      </c>
      <c r="E42" s="8">
        <v>0.2</v>
      </c>
      <c r="F42" t="s">
        <v>50</v>
      </c>
    </row>
    <row r="43" spans="1:6" x14ac:dyDescent="0.25">
      <c r="A43">
        <v>1100687</v>
      </c>
      <c r="B43" t="s">
        <v>35</v>
      </c>
      <c r="C43">
        <v>2</v>
      </c>
      <c r="D43" s="5">
        <v>90000858</v>
      </c>
      <c r="E43" s="8">
        <v>0.2</v>
      </c>
      <c r="F43" t="s">
        <v>50</v>
      </c>
    </row>
    <row r="44" spans="1:6" x14ac:dyDescent="0.25">
      <c r="A44">
        <v>1100690</v>
      </c>
      <c r="B44" t="s">
        <v>36</v>
      </c>
      <c r="C44">
        <v>2</v>
      </c>
      <c r="D44" s="5">
        <v>676620</v>
      </c>
      <c r="E44" s="8">
        <v>0.5</v>
      </c>
      <c r="F44" t="s">
        <v>50</v>
      </c>
    </row>
    <row r="45" spans="1:6" x14ac:dyDescent="0.25">
      <c r="A45">
        <v>1100991</v>
      </c>
      <c r="B45" t="s">
        <v>37</v>
      </c>
      <c r="C45">
        <v>6</v>
      </c>
      <c r="D45" s="5">
        <v>90002638</v>
      </c>
      <c r="E45" s="8">
        <v>0.2</v>
      </c>
      <c r="F45" t="s">
        <v>50</v>
      </c>
    </row>
    <row r="46" spans="1:6" x14ac:dyDescent="0.25">
      <c r="A46">
        <v>1102277</v>
      </c>
      <c r="B46" t="s">
        <v>38</v>
      </c>
      <c r="C46">
        <v>2</v>
      </c>
      <c r="D46" s="7">
        <v>90010204</v>
      </c>
      <c r="E46" s="8">
        <v>0.4</v>
      </c>
      <c r="F46" t="s">
        <v>50</v>
      </c>
    </row>
    <row r="47" spans="1:6" x14ac:dyDescent="0.25">
      <c r="A47">
        <v>1102438</v>
      </c>
      <c r="B47" t="s">
        <v>39</v>
      </c>
      <c r="C47">
        <v>2</v>
      </c>
      <c r="D47" s="7">
        <v>90010204</v>
      </c>
      <c r="E47" s="8">
        <v>0.2</v>
      </c>
      <c r="F47" t="s">
        <v>50</v>
      </c>
    </row>
    <row r="48" spans="1:6" x14ac:dyDescent="0.25">
      <c r="A48">
        <v>1100098</v>
      </c>
      <c r="B48" t="s">
        <v>40</v>
      </c>
      <c r="C48">
        <f>4+1</f>
        <v>5</v>
      </c>
      <c r="D48" s="5">
        <v>90003023</v>
      </c>
      <c r="E48" s="8">
        <v>0.6</v>
      </c>
      <c r="F48" t="s">
        <v>50</v>
      </c>
    </row>
    <row r="49" spans="1:6" x14ac:dyDescent="0.25">
      <c r="A49">
        <v>1101860</v>
      </c>
      <c r="B49" t="s">
        <v>41</v>
      </c>
      <c r="C49">
        <v>4</v>
      </c>
      <c r="D49" s="5">
        <v>149137</v>
      </c>
      <c r="E49" s="8">
        <v>0.2</v>
      </c>
      <c r="F49" t="s">
        <v>50</v>
      </c>
    </row>
    <row r="50" spans="1:6" x14ac:dyDescent="0.25">
      <c r="A50">
        <v>1102101</v>
      </c>
      <c r="B50" t="s">
        <v>42</v>
      </c>
      <c r="C50">
        <v>2</v>
      </c>
      <c r="D50" s="5">
        <v>617948</v>
      </c>
      <c r="E50" s="8">
        <v>0.2</v>
      </c>
      <c r="F50" t="s">
        <v>50</v>
      </c>
    </row>
    <row r="51" spans="1:6" x14ac:dyDescent="0.25">
      <c r="A51">
        <v>1102102</v>
      </c>
      <c r="B51" t="s">
        <v>43</v>
      </c>
      <c r="C51">
        <v>2</v>
      </c>
      <c r="D51" s="5">
        <v>90018362</v>
      </c>
      <c r="E51" s="8">
        <v>0.2</v>
      </c>
      <c r="F51" t="s">
        <v>50</v>
      </c>
    </row>
    <row r="52" spans="1:6" x14ac:dyDescent="0.25">
      <c r="A52">
        <v>1100994</v>
      </c>
      <c r="B52" t="s">
        <v>44</v>
      </c>
      <c r="C52">
        <v>3</v>
      </c>
      <c r="D52" s="5">
        <v>677209</v>
      </c>
      <c r="E52" s="8">
        <v>0.2</v>
      </c>
      <c r="F52" t="s">
        <v>50</v>
      </c>
    </row>
    <row r="53" spans="1:6" x14ac:dyDescent="0.25">
      <c r="A53">
        <v>1100040</v>
      </c>
      <c r="B53" t="s">
        <v>45</v>
      </c>
      <c r="C53">
        <v>10</v>
      </c>
      <c r="D53" s="5">
        <v>622806</v>
      </c>
      <c r="E53" s="8">
        <v>0.5</v>
      </c>
      <c r="F53" t="s">
        <v>50</v>
      </c>
    </row>
    <row r="54" spans="1:6" x14ac:dyDescent="0.25">
      <c r="A54">
        <v>1101040</v>
      </c>
      <c r="B54" t="s">
        <v>46</v>
      </c>
      <c r="C54">
        <v>2</v>
      </c>
      <c r="D54" s="5">
        <v>146885</v>
      </c>
      <c r="E54" s="8">
        <v>0.2</v>
      </c>
      <c r="F54" t="s">
        <v>50</v>
      </c>
    </row>
    <row r="55" spans="1:6" s="9" customFormat="1" x14ac:dyDescent="0.25">
      <c r="A55" s="9">
        <v>1101000</v>
      </c>
      <c r="B55" s="9" t="s">
        <v>48</v>
      </c>
      <c r="C55" s="9">
        <v>2</v>
      </c>
      <c r="D55" s="10">
        <v>113215</v>
      </c>
      <c r="E55" s="11">
        <v>0.2</v>
      </c>
      <c r="F55" t="s">
        <v>50</v>
      </c>
    </row>
  </sheetData>
  <autoFilter ref="A1:E55" xr:uid="{00000000-0001-0000-0000-000000000000}"/>
  <sortState xmlns:xlrd2="http://schemas.microsoft.com/office/spreadsheetml/2017/richdata2" ref="A3:D3">
    <sortCondition ref="A3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0F4C888C3E247BAF35D2B4D0C4B01" ma:contentTypeVersion="6" ma:contentTypeDescription="Create a new document." ma:contentTypeScope="" ma:versionID="b74c3fcc9b2d4b486f41b9af1c8eb7a6">
  <xsd:schema xmlns:xsd="http://www.w3.org/2001/XMLSchema" xmlns:xs="http://www.w3.org/2001/XMLSchema" xmlns:p="http://schemas.microsoft.com/office/2006/metadata/properties" xmlns:ns2="1525da01-8289-4adf-9aef-155ddab9de1b" xmlns:ns3="f1836e8f-289b-491c-9556-67e7084501af" targetNamespace="http://schemas.microsoft.com/office/2006/metadata/properties" ma:root="true" ma:fieldsID="4359aa3c0acb601a6d2eef82da988ac2" ns2:_="" ns3:_="">
    <xsd:import namespace="1525da01-8289-4adf-9aef-155ddab9de1b"/>
    <xsd:import namespace="f1836e8f-289b-491c-9556-67e708450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da01-8289-4adf-9aef-155ddab9d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36e8f-289b-491c-9556-67e708450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E2C815-9FE1-414C-B7CB-2036FD98E5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802447-6286-42BB-A7C9-4AC73D9C2775}"/>
</file>

<file path=customXml/itemProps3.xml><?xml version="1.0" encoding="utf-8"?>
<ds:datastoreItem xmlns:ds="http://schemas.openxmlformats.org/officeDocument/2006/customXml" ds:itemID="{4C29A9CC-DE79-4E75-A96A-EAC90AF5668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 Varghese-CONT</dc:creator>
  <cp:lastModifiedBy>Paramdeep Singh</cp:lastModifiedBy>
  <cp:lastPrinted>2024-05-29T05:24:42Z</cp:lastPrinted>
  <dcterms:created xsi:type="dcterms:W3CDTF">2024-03-31T08:31:11Z</dcterms:created>
  <dcterms:modified xsi:type="dcterms:W3CDTF">2025-11-19T10:22:20Z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0x010100FE90F4C888C3E247BAF35D2B4D0C4B01</vt:lpwstr>
  </property>
</Properties>
</file>